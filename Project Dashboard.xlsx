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  <sheet name="Other Tasks" sheetId="3" state="visible" r:id="rId5"/>
  </sheets>
  <definedNames>
    <definedName function="false" hidden="true" localSheetId="1" name="_xlnm._FilterDatabase" vbProcedure="false">Tasks!$A$2:$I$2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<sst xmlns="http://schemas.openxmlformats.org/spreadsheetml/2006/main" count="737" uniqueCount="289">
  <si>
    <t xml:space="preserve">Bulgarian Learning App — Project Dashboard</t>
  </si>
  <si>
    <t xml:space="preserve">OVERALL PROGRESS</t>
  </si>
  <si>
    <t xml:space="preserve">CONTENT STATUS</t>
  </si>
  <si>
    <t xml:space="preserve">NEXT MILESTONE</t>
  </si>
  <si>
    <t xml:space="preserve">Total Lessons</t>
  </si>
  <si>
    <t xml:space="preserve">Study Guides</t>
  </si>
  <si>
    <t xml:space="preserve">Current Focus</t>
  </si>
  <si>
    <t xml:space="preserve">Week 1 completion</t>
  </si>
  <si>
    <t xml:space="preserve">Completed</t>
  </si>
  <si>
    <t xml:space="preserve">Flashcard Sets</t>
  </si>
  <si>
    <t xml:space="preserve">Target</t>
  </si>
  <si>
    <t xml:space="preserve">In Progress</t>
  </si>
  <si>
    <t xml:space="preserve">Quiz Sets</t>
  </si>
  <si>
    <t xml:space="preserve">Notes</t>
  </si>
  <si>
    <t xml:space="preserve">Finish Days 1-3 to 1-5 next</t>
  </si>
  <si>
    <t xml:space="preserve">Not Started</t>
  </si>
  <si>
    <t xml:space="preserve">Writing Practice</t>
  </si>
  <si>
    <t xml:space="preserve">% Complete</t>
  </si>
  <si>
    <t xml:space="preserve">PROGRESS BY WEEK</t>
  </si>
  <si>
    <t xml:space="preserve">Week</t>
  </si>
  <si>
    <t xml:space="preserve">Theme</t>
  </si>
  <si>
    <t xml:space="preserve">Days Done</t>
  </si>
  <si>
    <t xml:space="preserve">Days Total</t>
  </si>
  <si>
    <t xml:space="preserve">Completion</t>
  </si>
  <si>
    <t xml:space="preserve">Status</t>
  </si>
  <si>
    <t xml:space="preserve">Week 1</t>
  </si>
  <si>
    <t xml:space="preserve">Cyrillic А-К</t>
  </si>
  <si>
    <t xml:space="preserve">Week 2</t>
  </si>
  <si>
    <t xml:space="preserve">Cyrillic П-Я</t>
  </si>
  <si>
    <t xml:space="preserve">Week 3</t>
  </si>
  <si>
    <t xml:space="preserve">Pronunciation</t>
  </si>
  <si>
    <t xml:space="preserve">Week 4</t>
  </si>
  <si>
    <t xml:space="preserve">Greetings &amp; Phrases</t>
  </si>
  <si>
    <t xml:space="preserve">Week 5</t>
  </si>
  <si>
    <t xml:space="preserve">Numbers &amp; Time</t>
  </si>
  <si>
    <t xml:space="preserve">Week 6</t>
  </si>
  <si>
    <t xml:space="preserve">Family &amp; People</t>
  </si>
  <si>
    <t xml:space="preserve">Week 7</t>
  </si>
  <si>
    <t xml:space="preserve">Food &amp; Drink</t>
  </si>
  <si>
    <t xml:space="preserve">Week 8</t>
  </si>
  <si>
    <t xml:space="preserve">Shopping &amp; Money</t>
  </si>
  <si>
    <t xml:space="preserve">Week 9</t>
  </si>
  <si>
    <t xml:space="preserve">Directions &amp; Places</t>
  </si>
  <si>
    <t xml:space="preserve">Week 10</t>
  </si>
  <si>
    <t xml:space="preserve">Daily Routines</t>
  </si>
  <si>
    <t xml:space="preserve">Week 11</t>
  </si>
  <si>
    <t xml:space="preserve">Weather &amp; Seasons</t>
  </si>
  <si>
    <t xml:space="preserve">Week 12</t>
  </si>
  <si>
    <t xml:space="preserve">Health &amp; Body</t>
  </si>
  <si>
    <t xml:space="preserve">Week 13</t>
  </si>
  <si>
    <t xml:space="preserve">Travel &amp; Transport</t>
  </si>
  <si>
    <t xml:space="preserve">Week 14</t>
  </si>
  <si>
    <t xml:space="preserve">Work &amp; Education</t>
  </si>
  <si>
    <t xml:space="preserve">Week 15</t>
  </si>
  <si>
    <t xml:space="preserve">Hobbies &amp; Leisure</t>
  </si>
  <si>
    <t xml:space="preserve">Week 16</t>
  </si>
  <si>
    <t xml:space="preserve">Grammar: Present Tense</t>
  </si>
  <si>
    <t xml:space="preserve">Week 17</t>
  </si>
  <si>
    <t xml:space="preserve">Grammar: Past Tense</t>
  </si>
  <si>
    <t xml:space="preserve">Week 18</t>
  </si>
  <si>
    <t xml:space="preserve">Grammar: Future Tense</t>
  </si>
  <si>
    <t xml:space="preserve">Week 19</t>
  </si>
  <si>
    <t xml:space="preserve">Conversations</t>
  </si>
  <si>
    <t xml:space="preserve">Week 20</t>
  </si>
  <si>
    <t xml:space="preserve">Review &amp; Assessment</t>
  </si>
  <si>
    <t xml:space="preserve">Lesson Task Tracker</t>
  </si>
  <si>
    <t xml:space="preserve">Lesson</t>
  </si>
  <si>
    <t xml:space="preserve">Topic</t>
  </si>
  <si>
    <t xml:space="preserve">Study Guide</t>
  </si>
  <si>
    <t xml:space="preserve">Flashcards</t>
  </si>
  <si>
    <t xml:space="preserve">Quiz</t>
  </si>
  <si>
    <t xml:space="preserve">Writing</t>
  </si>
  <si>
    <t xml:space="preserve">Day 1-1</t>
  </si>
  <si>
    <t xml:space="preserve">Letters А, Б, В, Г, Д</t>
  </si>
  <si>
    <t xml:space="preserve">Done</t>
  </si>
  <si>
    <t xml:space="preserve">Day 1-2</t>
  </si>
  <si>
    <t xml:space="preserve">Letters Е, Ж, З, И, Й</t>
  </si>
  <si>
    <t xml:space="preserve">Day 1-3</t>
  </si>
  <si>
    <t xml:space="preserve">Letters К, Л, М, Н, О</t>
  </si>
  <si>
    <t xml:space="preserve">Day 1-4</t>
  </si>
  <si>
    <t xml:space="preserve">Drill &amp; Review А-О</t>
  </si>
  <si>
    <t xml:space="preserve">Day 1-5</t>
  </si>
  <si>
    <t xml:space="preserve">Week 1 Review</t>
  </si>
  <si>
    <t xml:space="preserve">Day 2-1</t>
  </si>
  <si>
    <t xml:space="preserve">Letters П, Р, С, Т, У</t>
  </si>
  <si>
    <t xml:space="preserve">Needs flashcard + quiz arrays</t>
  </si>
  <si>
    <t xml:space="preserve">Day 2-2</t>
  </si>
  <si>
    <t xml:space="preserve">Letters Ф, Х, Ц, Ч, Ш</t>
  </si>
  <si>
    <t xml:space="preserve">Day 2-3</t>
  </si>
  <si>
    <t xml:space="preserve">Letters Щ, Ъ, Ь, Ю, Я</t>
  </si>
  <si>
    <t xml:space="preserve">Day 2-4</t>
  </si>
  <si>
    <t xml:space="preserve">Full Alphabet Drill</t>
  </si>
  <si>
    <t xml:space="preserve">Day 2-5</t>
  </si>
  <si>
    <t xml:space="preserve">Reading &amp; Listening</t>
  </si>
  <si>
    <t xml:space="preserve">Day 3-1</t>
  </si>
  <si>
    <t xml:space="preserve">Vowels Deep Dive</t>
  </si>
  <si>
    <t xml:space="preserve">Day 3-2</t>
  </si>
  <si>
    <t xml:space="preserve">Tricky Consonants</t>
  </si>
  <si>
    <t xml:space="preserve">Day 3-3</t>
  </si>
  <si>
    <t xml:space="preserve">Stress Patterns</t>
  </si>
  <si>
    <t xml:space="preserve">Day 3-4</t>
  </si>
  <si>
    <t xml:space="preserve">Read Aloud Practice</t>
  </si>
  <si>
    <t xml:space="preserve">Day 3-5</t>
  </si>
  <si>
    <t xml:space="preserve">Listening to Native Speech</t>
  </si>
  <si>
    <t xml:space="preserve">Day 4-1</t>
  </si>
  <si>
    <t xml:space="preserve">Greetings by Time of Day</t>
  </si>
  <si>
    <t xml:space="preserve">Day 4-2</t>
  </si>
  <si>
    <t xml:space="preserve">Goodbyes &amp; Evening</t>
  </si>
  <si>
    <t xml:space="preserve">Day 4-3</t>
  </si>
  <si>
    <t xml:space="preserve">Polite Words</t>
  </si>
  <si>
    <t xml:space="preserve">Day 4-4</t>
  </si>
  <si>
    <t xml:space="preserve">Apologies &amp; Understanding</t>
  </si>
  <si>
    <t xml:space="preserve">Day 4-5</t>
  </si>
  <si>
    <t xml:space="preserve">Week 4 Review</t>
  </si>
  <si>
    <t xml:space="preserve">Day 5-1</t>
  </si>
  <si>
    <t xml:space="preserve">Counting 1-10</t>
  </si>
  <si>
    <t xml:space="preserve">Day 5-2</t>
  </si>
  <si>
    <t xml:space="preserve">Counting 11-100</t>
  </si>
  <si>
    <t xml:space="preserve">Day 5-3</t>
  </si>
  <si>
    <t xml:space="preserve">Telling Time</t>
  </si>
  <si>
    <t xml:space="preserve">Day 5-4</t>
  </si>
  <si>
    <t xml:space="preserve">Days &amp; Months</t>
  </si>
  <si>
    <t xml:space="preserve">Day 5-5</t>
  </si>
  <si>
    <t xml:space="preserve">Review</t>
  </si>
  <si>
    <t xml:space="preserve">Day 6-1</t>
  </si>
  <si>
    <t xml:space="preserve">Family Members</t>
  </si>
  <si>
    <t xml:space="preserve">Day 6-2</t>
  </si>
  <si>
    <t xml:space="preserve">Descriptions</t>
  </si>
  <si>
    <t xml:space="preserve">Day 6-3</t>
  </si>
  <si>
    <t xml:space="preserve">Ages &amp; Birthdays</t>
  </si>
  <si>
    <t xml:space="preserve">Day 6-4</t>
  </si>
  <si>
    <t xml:space="preserve">Relationships</t>
  </si>
  <si>
    <t xml:space="preserve">Day 6-5</t>
  </si>
  <si>
    <t xml:space="preserve">Day 7-1</t>
  </si>
  <si>
    <t xml:space="preserve">Common Foods</t>
  </si>
  <si>
    <t xml:space="preserve">Day 7-2</t>
  </si>
  <si>
    <t xml:space="preserve">Drinks &amp; Ordering</t>
  </si>
  <si>
    <t xml:space="preserve">Day 7-3</t>
  </si>
  <si>
    <t xml:space="preserve">At the Restaurant</t>
  </si>
  <si>
    <t xml:space="preserve">Day 7-4</t>
  </si>
  <si>
    <t xml:space="preserve">Cooking Words</t>
  </si>
  <si>
    <t xml:space="preserve">Day 7-5</t>
  </si>
  <si>
    <t xml:space="preserve">Day 8-1</t>
  </si>
  <si>
    <t xml:space="preserve">Money &amp; Prices</t>
  </si>
  <si>
    <t xml:space="preserve">Day 8-2</t>
  </si>
  <si>
    <t xml:space="preserve">At the Store</t>
  </si>
  <si>
    <t xml:space="preserve">Day 8-3</t>
  </si>
  <si>
    <t xml:space="preserve">Clothing</t>
  </si>
  <si>
    <t xml:space="preserve">Day 8-4</t>
  </si>
  <si>
    <t xml:space="preserve">Bargaining</t>
  </si>
  <si>
    <t xml:space="preserve">Day 8-5</t>
  </si>
  <si>
    <t xml:space="preserve">Day 9-1</t>
  </si>
  <si>
    <t xml:space="preserve">Left/Right/Straight</t>
  </si>
  <si>
    <t xml:space="preserve">Day 9-2</t>
  </si>
  <si>
    <t xml:space="preserve">City Landmarks</t>
  </si>
  <si>
    <t xml:space="preserve">Day 9-3</t>
  </si>
  <si>
    <t xml:space="preserve">Asking Directions</t>
  </si>
  <si>
    <t xml:space="preserve">Day 9-4</t>
  </si>
  <si>
    <t xml:space="preserve">Public Transport</t>
  </si>
  <si>
    <t xml:space="preserve">Day 9-5</t>
  </si>
  <si>
    <t xml:space="preserve">Day 10-1</t>
  </si>
  <si>
    <t xml:space="preserve">Morning Routine</t>
  </si>
  <si>
    <t xml:space="preserve">Day 10-2</t>
  </si>
  <si>
    <t xml:space="preserve">Work &amp; School</t>
  </si>
  <si>
    <t xml:space="preserve">Day 10-3</t>
  </si>
  <si>
    <t xml:space="preserve">Evening Activities</t>
  </si>
  <si>
    <t xml:space="preserve">Day 10-4</t>
  </si>
  <si>
    <t xml:space="preserve">Weekend Plans</t>
  </si>
  <si>
    <t xml:space="preserve">Day 10-5</t>
  </si>
  <si>
    <t xml:space="preserve">Day 11-1</t>
  </si>
  <si>
    <t xml:space="preserve">Weather Words</t>
  </si>
  <si>
    <t xml:space="preserve">Day 11-2</t>
  </si>
  <si>
    <t xml:space="preserve">Seasons</t>
  </si>
  <si>
    <t xml:space="preserve">Day 11-3</t>
  </si>
  <si>
    <t xml:space="preserve">Temperature</t>
  </si>
  <si>
    <t xml:space="preserve">Day 11-4</t>
  </si>
  <si>
    <t xml:space="preserve">Forecasts</t>
  </si>
  <si>
    <t xml:space="preserve">Day 11-5</t>
  </si>
  <si>
    <t xml:space="preserve">Day 12-1</t>
  </si>
  <si>
    <t xml:space="preserve">Body Parts</t>
  </si>
  <si>
    <t xml:space="preserve">Day 12-2</t>
  </si>
  <si>
    <t xml:space="preserve">Feeling Sick</t>
  </si>
  <si>
    <t xml:space="preserve">Day 12-3</t>
  </si>
  <si>
    <t xml:space="preserve">At the Doctor</t>
  </si>
  <si>
    <t xml:space="preserve">Day 12-4</t>
  </si>
  <si>
    <t xml:space="preserve">Pharmacy</t>
  </si>
  <si>
    <t xml:space="preserve">Day 12-5</t>
  </si>
  <si>
    <t xml:space="preserve">Day 13-1</t>
  </si>
  <si>
    <t xml:space="preserve">Airport &amp; Train</t>
  </si>
  <si>
    <t xml:space="preserve">Day 13-2</t>
  </si>
  <si>
    <t xml:space="preserve">Hotel Check-in</t>
  </si>
  <si>
    <t xml:space="preserve">Day 13-3</t>
  </si>
  <si>
    <t xml:space="preserve">Sightseeing</t>
  </si>
  <si>
    <t xml:space="preserve">Day 13-4</t>
  </si>
  <si>
    <t xml:space="preserve">Emergencies</t>
  </si>
  <si>
    <t xml:space="preserve">Day 13-5</t>
  </si>
  <si>
    <t xml:space="preserve">Day 14-1</t>
  </si>
  <si>
    <t xml:space="preserve">Job Titles</t>
  </si>
  <si>
    <t xml:space="preserve">Day 14-2</t>
  </si>
  <si>
    <t xml:space="preserve">Office Words</t>
  </si>
  <si>
    <t xml:space="preserve">Day 14-3</t>
  </si>
  <si>
    <t xml:space="preserve">School Subjects</t>
  </si>
  <si>
    <t xml:space="preserve">Day 14-4</t>
  </si>
  <si>
    <t xml:space="preserve">Interviews</t>
  </si>
  <si>
    <t xml:space="preserve">Day 14-5</t>
  </si>
  <si>
    <t xml:space="preserve">Day 15-1</t>
  </si>
  <si>
    <t xml:space="preserve">Sports</t>
  </si>
  <si>
    <t xml:space="preserve">Day 15-2</t>
  </si>
  <si>
    <t xml:space="preserve">Music &amp; Arts</t>
  </si>
  <si>
    <t xml:space="preserve">Day 15-3</t>
  </si>
  <si>
    <t xml:space="preserve">Reading &amp; Movies</t>
  </si>
  <si>
    <t xml:space="preserve">Day 15-4</t>
  </si>
  <si>
    <t xml:space="preserve">Outdoors</t>
  </si>
  <si>
    <t xml:space="preserve">Day 15-5</t>
  </si>
  <si>
    <t xml:space="preserve">Day 16-1</t>
  </si>
  <si>
    <t xml:space="preserve">Verb Conjugation</t>
  </si>
  <si>
    <t xml:space="preserve">Day 16-2</t>
  </si>
  <si>
    <t xml:space="preserve">Common Verbs</t>
  </si>
  <si>
    <t xml:space="preserve">Day 16-3</t>
  </si>
  <si>
    <t xml:space="preserve">Questions</t>
  </si>
  <si>
    <t xml:space="preserve">Day 16-4</t>
  </si>
  <si>
    <t xml:space="preserve">Negation</t>
  </si>
  <si>
    <t xml:space="preserve">Day 16-5</t>
  </si>
  <si>
    <t xml:space="preserve">Day 17-1</t>
  </si>
  <si>
    <t xml:space="preserve">Past Tense Forms</t>
  </si>
  <si>
    <t xml:space="preserve">Day 17-2</t>
  </si>
  <si>
    <t xml:space="preserve">Irregular Verbs</t>
  </si>
  <si>
    <t xml:space="preserve">Day 17-3</t>
  </si>
  <si>
    <t xml:space="preserve">Storytelling</t>
  </si>
  <si>
    <t xml:space="preserve">Day 17-4</t>
  </si>
  <si>
    <t xml:space="preserve">Practice</t>
  </si>
  <si>
    <t xml:space="preserve">Day 17-5</t>
  </si>
  <si>
    <t xml:space="preserve">Day 18-1</t>
  </si>
  <si>
    <t xml:space="preserve">Future Tense Forms</t>
  </si>
  <si>
    <t xml:space="preserve">Day 18-2</t>
  </si>
  <si>
    <t xml:space="preserve">Plans &amp; Intentions</t>
  </si>
  <si>
    <t xml:space="preserve">Day 18-3</t>
  </si>
  <si>
    <t xml:space="preserve">Predictions</t>
  </si>
  <si>
    <t xml:space="preserve">Day 18-4</t>
  </si>
  <si>
    <t xml:space="preserve">Day 18-5</t>
  </si>
  <si>
    <t xml:space="preserve">Day 19-1</t>
  </si>
  <si>
    <t xml:space="preserve">Introductions</t>
  </si>
  <si>
    <t xml:space="preserve">Day 19-2</t>
  </si>
  <si>
    <t xml:space="preserve">Small Talk</t>
  </si>
  <si>
    <t xml:space="preserve">Day 19-3</t>
  </si>
  <si>
    <t xml:space="preserve">Phone Calls</t>
  </si>
  <si>
    <t xml:space="preserve">Day 19-4</t>
  </si>
  <si>
    <t xml:space="preserve">Formal vs Informal</t>
  </si>
  <si>
    <t xml:space="preserve">Day 19-5</t>
  </si>
  <si>
    <t xml:space="preserve">Day 20-1</t>
  </si>
  <si>
    <t xml:space="preserve">Alphabet Mastery</t>
  </si>
  <si>
    <t xml:space="preserve">Day 20-2</t>
  </si>
  <si>
    <t xml:space="preserve">Vocabulary Test</t>
  </si>
  <si>
    <t xml:space="preserve">Day 20-3</t>
  </si>
  <si>
    <t xml:space="preserve">Grammar Test</t>
  </si>
  <si>
    <t xml:space="preserve">Day 20-4</t>
  </si>
  <si>
    <t xml:space="preserve">Conversation Test</t>
  </si>
  <si>
    <t xml:space="preserve">Day 20-5</t>
  </si>
  <si>
    <t xml:space="preserve">Final Assessment</t>
  </si>
  <si>
    <t xml:space="preserve">Additional Tasks &amp; Improvements</t>
  </si>
  <si>
    <t xml:space="preserve">#</t>
  </si>
  <si>
    <t xml:space="preserve">Task</t>
  </si>
  <si>
    <t xml:space="preserve">Category</t>
  </si>
  <si>
    <t xml:space="preserve">Find real YouTube videos for each lesson</t>
  </si>
  <si>
    <t xml:space="preserve">Content</t>
  </si>
  <si>
    <t xml:space="preserve">Replace search links with specific videos</t>
  </si>
  <si>
    <t xml:space="preserve">Clean up legacy files (day1-preview, nav-mockups, learn-bulgarian)</t>
  </si>
  <si>
    <t xml:space="preserve">Cleanup</t>
  </si>
  <si>
    <t xml:space="preserve">3 files to remove</t>
  </si>
  <si>
    <t xml:space="preserve">Add letter card format to Weeks 2-4 (handwritten + printed)</t>
  </si>
  <si>
    <t xml:space="preserve">UI Polish</t>
  </si>
  <si>
    <t xml:space="preserve">Match Day 1-1/1-2 card format</t>
  </si>
  <si>
    <t xml:space="preserve">Update flashcard format for all weeks</t>
  </si>
  <si>
    <t xml:space="preserve">englishWord + bgRef pattern</t>
  </si>
  <si>
    <t xml:space="preserve">Test all lessons on mobile</t>
  </si>
  <si>
    <t xml:space="preserve">QA</t>
  </si>
  <si>
    <t xml:space="preserve">Check layout on phone</t>
  </si>
  <si>
    <t xml:space="preserve">Add audio pronunciation files</t>
  </si>
  <si>
    <t xml:space="preserve">Enhancement</t>
  </si>
  <si>
    <t xml:space="preserve">Optional: native speaker recordings</t>
  </si>
  <si>
    <t xml:space="preserve">Implement spaced repetition for flashcards</t>
  </si>
  <si>
    <t xml:space="preserve">Track which cards user struggles with</t>
  </si>
  <si>
    <t xml:space="preserve">Add offline support testing</t>
  </si>
  <si>
    <t xml:space="preserve">Verify service worker caching</t>
  </si>
  <si>
    <t xml:space="preserve">Design curriculum for Weeks 5-20</t>
  </si>
  <si>
    <t xml:space="preserve">Planning</t>
  </si>
  <si>
    <t xml:space="preserve">Define vocab, grammar, topics per day</t>
  </si>
  <si>
    <t xml:space="preserve">Add progress export/backup feature</t>
  </si>
  <si>
    <t xml:space="preserve">Let users save their progress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</si>
</sst>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4"/>
      <color rgb="FF1B2A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FFFF"/>
      </font>
      <fill>
        <patternFill>
          <bgColor rgb="FF16A34A"/>
        </patternFill>
      </fill>
    </dxf>
    <dxf>
      <font>
        <b val="1"/>
        <color rgb="FF1B2A4A"/>
      </font>
      <fill>
        <patternFill>
          <bgColor rgb="FFFEF3C7"/>
        </patternFill>
      </fill>
    </dxf>
    <dxf>
      <font>
        <color rgb="FF94A3B8"/>
      </font>
      <fill>
        <patternFill>
          <bgColor rgb="FFFFFFFF"/>
        </patternFill>
      </fill>
    </dxf>
    <dxf>
      <font>
        <b val="1"/>
        <color rgb="FF16A34A"/>
      </font>
      <fill>
        <patternFill>
          <bgColor rgb="FFDCFCE7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4748B"/>
      <rgbColor rgb="FF94A3B8"/>
      <rgbColor rgb="FF003366"/>
      <rgbColor rgb="FF16A34A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B2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7" min="3" style="1" width="16"/>
    <col collapsed="false" customWidth="true" hidden="false" outlineLevel="0" max="8" min="8" style="1" width="20"/>
  </cols>
  <sheetData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3" t="s">
        <v>1</v>
      </c>
      <c r="C4" s="3"/>
      <c r="D4" s="3" t="s">
        <v>2</v>
      </c>
      <c r="E4" s="3"/>
      <c r="F4" s="3" t="s">
        <v>3</v>
      </c>
      <c r="G4" s="3"/>
    </row>
    <row r="5" customFormat="false" ht="15" hidden="false" customHeight="true" outlineLevel="0" collapsed="false">
      <c r="B5" s="4" t="s">
        <v>4</v>
      </c>
      <c r="C5" s="5" t="n">
        <f aca="false">COUNTA(Tasks!B3:B200)-COUNTBLANK(Tasks!B3:B200)</f>
        <v>2</v>
      </c>
      <c r="D5" s="4" t="s">
        <v>5</v>
      </c>
      <c r="E5" s="6" t="n">
        <f aca="false">COUNTIF(Tasks!D3:D200,"Done")</f>
        <v>20</v>
      </c>
      <c r="F5" s="7" t="s">
        <v>6</v>
      </c>
      <c r="G5" s="8" t="s">
        <v>7</v>
      </c>
    </row>
    <row r="6" customFormat="false" ht="15" hidden="false" customHeight="true" outlineLevel="0" collapsed="false">
      <c r="B6" s="4" t="s">
        <v>8</v>
      </c>
      <c r="C6" s="5" t="n">
        <f aca="false">COUNTIF(Tasks!H3:H200,"Done")</f>
        <v>5</v>
      </c>
      <c r="D6" s="4" t="s">
        <v>9</v>
      </c>
      <c r="E6" s="6" t="n">
        <f aca="false">COUNTIF(Tasks!E3:E200,"Done")</f>
        <v>5</v>
      </c>
      <c r="F6" s="7" t="s">
        <v>10</v>
      </c>
      <c r="G6" s="9"/>
    </row>
    <row r="7" customFormat="false" ht="15" hidden="false" customHeight="true" outlineLevel="0" collapsed="false">
      <c r="B7" s="4" t="s">
        <v>11</v>
      </c>
      <c r="C7" s="5" t="n">
        <f aca="false">COUNTIF(Tasks!H3:H200,"In Progress")</f>
        <v>15</v>
      </c>
      <c r="D7" s="4" t="s">
        <v>12</v>
      </c>
      <c r="E7" s="6" t="n">
        <f aca="false">COUNTIF(Tasks!F3:F200,"Done")</f>
        <v>5</v>
      </c>
      <c r="F7" s="7" t="s">
        <v>13</v>
      </c>
      <c r="G7" s="7" t="s">
        <v>14</v>
      </c>
    </row>
    <row r="8" customFormat="false" ht="15" hidden="false" customHeight="true" outlineLevel="0" collapsed="false">
      <c r="B8" s="4" t="s">
        <v>15</v>
      </c>
      <c r="C8" s="5" t="n">
        <f aca="false">COUNTIF(Tasks!H3:H200,"Not Started")</f>
        <v>80</v>
      </c>
      <c r="D8" s="4" t="s">
        <v>16</v>
      </c>
      <c r="E8" s="6" t="n">
        <f aca="false">COUNTIF(Tasks!G3:G200,"Done")</f>
        <v>20</v>
      </c>
    </row>
    <row r="9" customFormat="false" ht="15" hidden="false" customHeight="true" outlineLevel="0" collapsed="false">
      <c r="B9" s="4" t="s">
        <v>17</v>
      </c>
      <c r="C9" s="10" t="n">
        <f aca="false">IF(C5&gt;0,C6/C5,0)</f>
        <v>2.5</v>
      </c>
    </row>
    <row r="11" customFormat="false" ht="27.75" hidden="false" customHeight="true" outlineLevel="0" collapsed="false">
      <c r="B11" s="11" t="s">
        <v>18</v>
      </c>
      <c r="C11" s="11"/>
      <c r="D11" s="11"/>
      <c r="E11" s="11"/>
      <c r="F11" s="11"/>
      <c r="G11" s="11"/>
      <c r="H11" s="11"/>
    </row>
    <row r="12" customFormat="false" ht="15" hidden="false" customHeight="true" outlineLevel="0" collapsed="false">
      <c r="B12" s="12" t="s">
        <v>19</v>
      </c>
      <c r="C12" s="12" t="s">
        <v>20</v>
      </c>
      <c r="D12" s="12" t="s">
        <v>21</v>
      </c>
      <c r="E12" s="12" t="s">
        <v>22</v>
      </c>
      <c r="F12" s="12" t="s">
        <v>23</v>
      </c>
      <c r="G12" s="12" t="s">
        <v>24</v>
      </c>
      <c r="H12" s="12" t="s">
        <v>13</v>
      </c>
    </row>
    <row r="13" customFormat="false" ht="21.75" hidden="false" customHeight="true" outlineLevel="0" collapsed="false">
      <c r="B13" s="13" t="s">
        <v>25</v>
      </c>
      <c r="C13" s="14" t="s">
        <v>26</v>
      </c>
      <c r="D13" s="15" t="n">
        <f aca="false">COUNTIFS(Tasks!A3:A200,1,Tasks!H3:H200,"Done")</f>
        <v>5</v>
      </c>
      <c r="E13" s="14" t="n">
        <f aca="false">COUNTIF(Tasks!A3:A200,1)</f>
        <v>5</v>
      </c>
      <c r="F13" s="16" t="n">
        <f aca="false">IF(E13&gt;0,D13/E13,0)</f>
        <v>1</v>
      </c>
      <c r="G13" s="14" t="str">
        <f aca="false">IF(F13=1,"Complete",IF(F13&gt;0,"In Progress","Not Started"))</f>
        <v>Complete</v>
      </c>
      <c r="H13" s="17"/>
    </row>
    <row r="14" customFormat="false" ht="21.75" hidden="false" customHeight="true" outlineLevel="0" collapsed="false">
      <c r="B14" s="18" t="s">
        <v>27</v>
      </c>
      <c r="C14" s="19" t="s">
        <v>28</v>
      </c>
      <c r="D14" s="20" t="n">
        <f aca="false">COUNTIFS(Tasks!A3:A200,2,Tasks!H3:H200,"Done")</f>
        <v>0</v>
      </c>
      <c r="E14" s="19" t="n">
        <f aca="false">COUNTIF(Tasks!A3:A200,2)</f>
        <v>5</v>
      </c>
      <c r="F14" s="21" t="n">
        <f aca="false">IF(E14&gt;0,D14/E14,0)</f>
        <v>0</v>
      </c>
      <c r="G14" s="19" t="str">
        <f aca="false">IF(F14=1,"Complete",IF(F14&gt;0,"In Progress","Not Started"))</f>
        <v>Not Started</v>
      </c>
      <c r="H14" s="22"/>
    </row>
    <row r="15" customFormat="false" ht="21.75" hidden="false" customHeight="true" outlineLevel="0" collapsed="false">
      <c r="B15" s="13" t="s">
        <v>29</v>
      </c>
      <c r="C15" s="14" t="s">
        <v>30</v>
      </c>
      <c r="D15" s="15" t="n">
        <f aca="false">COUNTIFS(Tasks!A3:A200,3,Tasks!H3:H200,"Done")</f>
        <v>0</v>
      </c>
      <c r="E15" s="14" t="n">
        <f aca="false">COUNTIF(Tasks!A3:A200,3)</f>
        <v>5</v>
      </c>
      <c r="F15" s="16" t="n">
        <f aca="false">IF(E15&gt;0,D15/E15,0)</f>
        <v>0</v>
      </c>
      <c r="G15" s="14" t="str">
        <f aca="false">IF(F15=1,"Complete",IF(F15&gt;0,"In Progress","Not Started"))</f>
        <v>Not Started</v>
      </c>
      <c r="H15" s="17"/>
    </row>
    <row r="16" customFormat="false" ht="21.75" hidden="false" customHeight="true" outlineLevel="0" collapsed="false">
      <c r="B16" s="18" t="s">
        <v>31</v>
      </c>
      <c r="C16" s="19" t="s">
        <v>32</v>
      </c>
      <c r="D16" s="20" t="n">
        <f aca="false">COUNTIFS(Tasks!A3:A200,4,Tasks!H3:H200,"Done")</f>
        <v>0</v>
      </c>
      <c r="E16" s="19" t="n">
        <f aca="false">COUNTIF(Tasks!A3:A200,4)</f>
        <v>5</v>
      </c>
      <c r="F16" s="21" t="n">
        <f aca="false">IF(E16&gt;0,D16/E16,0)</f>
        <v>0</v>
      </c>
      <c r="G16" s="19" t="str">
        <f aca="false">IF(F16=1,"Complete",IF(F16&gt;0,"In Progress","Not Started"))</f>
        <v>Not Started</v>
      </c>
      <c r="H16" s="22"/>
    </row>
    <row r="17" customFormat="false" ht="21.75" hidden="false" customHeight="true" outlineLevel="0" collapsed="false">
      <c r="B17" s="13" t="s">
        <v>33</v>
      </c>
      <c r="C17" s="14" t="s">
        <v>34</v>
      </c>
      <c r="D17" s="15" t="n">
        <f aca="false">COUNTIFS(Tasks!A3:A200,5,Tasks!H3:H200,"Done")</f>
        <v>0</v>
      </c>
      <c r="E17" s="14" t="n">
        <f aca="false">COUNTIF(Tasks!A3:A200,5)</f>
        <v>5</v>
      </c>
      <c r="F17" s="16" t="n">
        <f aca="false">IF(E17&gt;0,D17/E17,0)</f>
        <v>0</v>
      </c>
      <c r="G17" s="14" t="str">
        <f aca="false">IF(F17=1,"Complete",IF(F17&gt;0,"In Progress","Not Started"))</f>
        <v>Not Started</v>
      </c>
      <c r="H17" s="17"/>
    </row>
    <row r="18" customFormat="false" ht="21.75" hidden="false" customHeight="true" outlineLevel="0" collapsed="false">
      <c r="B18" s="18" t="s">
        <v>35</v>
      </c>
      <c r="C18" s="19" t="s">
        <v>36</v>
      </c>
      <c r="D18" s="20" t="n">
        <f aca="false">COUNTIFS(Tasks!A3:A200,6,Tasks!H3:H200,"Done")</f>
        <v>0</v>
      </c>
      <c r="E18" s="19" t="n">
        <f aca="false">COUNTIF(Tasks!A3:A200,6)</f>
        <v>5</v>
      </c>
      <c r="F18" s="21" t="n">
        <f aca="false">IF(E18&gt;0,D18/E18,0)</f>
        <v>0</v>
      </c>
      <c r="G18" s="19" t="str">
        <f aca="false">IF(F18=1,"Complete",IF(F18&gt;0,"In Progress","Not Started"))</f>
        <v>Not Started</v>
      </c>
      <c r="H18" s="22"/>
    </row>
    <row r="19" customFormat="false" ht="21.75" hidden="false" customHeight="true" outlineLevel="0" collapsed="false">
      <c r="B19" s="13" t="s">
        <v>37</v>
      </c>
      <c r="C19" s="14" t="s">
        <v>38</v>
      </c>
      <c r="D19" s="15" t="n">
        <f aca="false">COUNTIFS(Tasks!A3:A200,7,Tasks!H3:H200,"Done")</f>
        <v>0</v>
      </c>
      <c r="E19" s="14" t="n">
        <f aca="false">COUNTIF(Tasks!A3:A200,7)</f>
        <v>5</v>
      </c>
      <c r="F19" s="16" t="n">
        <f aca="false">IF(E19&gt;0,D19/E19,0)</f>
        <v>0</v>
      </c>
      <c r="G19" s="14" t="str">
        <f aca="false">IF(F19=1,"Complete",IF(F19&gt;0,"In Progress","Not Started"))</f>
        <v>Not Started</v>
      </c>
      <c r="H19" s="17"/>
    </row>
    <row r="20" customFormat="false" ht="21.75" hidden="false" customHeight="true" outlineLevel="0" collapsed="false">
      <c r="B20" s="18" t="s">
        <v>39</v>
      </c>
      <c r="C20" s="19" t="s">
        <v>40</v>
      </c>
      <c r="D20" s="20" t="n">
        <f aca="false">COUNTIFS(Tasks!A3:A200,8,Tasks!H3:H200,"Done")</f>
        <v>0</v>
      </c>
      <c r="E20" s="19" t="n">
        <f aca="false">COUNTIF(Tasks!A3:A200,8)</f>
        <v>5</v>
      </c>
      <c r="F20" s="21" t="n">
        <f aca="false">IF(E20&gt;0,D20/E20,0)</f>
        <v>0</v>
      </c>
      <c r="G20" s="19" t="str">
        <f aca="false">IF(F20=1,"Complete",IF(F20&gt;0,"In Progress","Not Started"))</f>
        <v>Not Started</v>
      </c>
      <c r="H20" s="22"/>
    </row>
    <row r="21" customFormat="false" ht="21.75" hidden="false" customHeight="true" outlineLevel="0" collapsed="false">
      <c r="B21" s="13" t="s">
        <v>41</v>
      </c>
      <c r="C21" s="14" t="s">
        <v>42</v>
      </c>
      <c r="D21" s="15" t="n">
        <f aca="false">COUNTIFS(Tasks!A3:A200,9,Tasks!H3:H200,"Done")</f>
        <v>0</v>
      </c>
      <c r="E21" s="14" t="n">
        <f aca="false">COUNTIF(Tasks!A3:A200,9)</f>
        <v>5</v>
      </c>
      <c r="F21" s="16" t="n">
        <f aca="false">IF(E21&gt;0,D21/E21,0)</f>
        <v>0</v>
      </c>
      <c r="G21" s="14" t="str">
        <f aca="false">IF(F21=1,"Complete",IF(F21&gt;0,"In Progress","Not Started"))</f>
        <v>Not Started</v>
      </c>
      <c r="H21" s="17"/>
    </row>
    <row r="22" customFormat="false" ht="21.75" hidden="false" customHeight="true" outlineLevel="0" collapsed="false">
      <c r="B22" s="18" t="s">
        <v>43</v>
      </c>
      <c r="C22" s="19" t="s">
        <v>44</v>
      </c>
      <c r="D22" s="20" t="n">
        <f aca="false">COUNTIFS(Tasks!A3:A200,10,Tasks!H3:H200,"Done")</f>
        <v>0</v>
      </c>
      <c r="E22" s="19" t="n">
        <f aca="false">COUNTIF(Tasks!A3:A200,10)</f>
        <v>5</v>
      </c>
      <c r="F22" s="21" t="n">
        <f aca="false">IF(E22&gt;0,D22/E22,0)</f>
        <v>0</v>
      </c>
      <c r="G22" s="19" t="str">
        <f aca="false">IF(F22=1,"Complete",IF(F22&gt;0,"In Progress","Not Started"))</f>
        <v>Not Started</v>
      </c>
      <c r="H22" s="22"/>
    </row>
    <row r="23" customFormat="false" ht="21.75" hidden="false" customHeight="true" outlineLevel="0" collapsed="false">
      <c r="B23" s="13" t="s">
        <v>45</v>
      </c>
      <c r="C23" s="14" t="s">
        <v>46</v>
      </c>
      <c r="D23" s="15" t="n">
        <f aca="false">COUNTIFS(Tasks!A3:A200,11,Tasks!H3:H200,"Done")</f>
        <v>0</v>
      </c>
      <c r="E23" s="14" t="n">
        <f aca="false">COUNTIF(Tasks!A3:A200,11)</f>
        <v>5</v>
      </c>
      <c r="F23" s="16" t="n">
        <f aca="false">IF(E23&gt;0,D23/E23,0)</f>
        <v>0</v>
      </c>
      <c r="G23" s="14" t="str">
        <f aca="false">IF(F23=1,"Complete",IF(F23&gt;0,"In Progress","Not Started"))</f>
        <v>Not Started</v>
      </c>
      <c r="H23" s="17"/>
    </row>
    <row r="24" customFormat="false" ht="21.75" hidden="false" customHeight="true" outlineLevel="0" collapsed="false">
      <c r="B24" s="18" t="s">
        <v>47</v>
      </c>
      <c r="C24" s="19" t="s">
        <v>48</v>
      </c>
      <c r="D24" s="20" t="n">
        <f aca="false">COUNTIFS(Tasks!A3:A200,12,Tasks!H3:H200,"Done")</f>
        <v>0</v>
      </c>
      <c r="E24" s="19" t="n">
        <f aca="false">COUNTIF(Tasks!A3:A200,12)</f>
        <v>5</v>
      </c>
      <c r="F24" s="21" t="n">
        <f aca="false">IF(E24&gt;0,D24/E24,0)</f>
        <v>0</v>
      </c>
      <c r="G24" s="19" t="str">
        <f aca="false">IF(F24=1,"Complete",IF(F24&gt;0,"In Progress","Not Started"))</f>
        <v>Not Started</v>
      </c>
      <c r="H24" s="22"/>
    </row>
    <row r="25" customFormat="false" ht="21.75" hidden="false" customHeight="true" outlineLevel="0" collapsed="false">
      <c r="B25" s="13" t="s">
        <v>49</v>
      </c>
      <c r="C25" s="14" t="s">
        <v>50</v>
      </c>
      <c r="D25" s="15" t="n">
        <f aca="false">COUNTIFS(Tasks!A3:A200,13,Tasks!H3:H200,"Done")</f>
        <v>0</v>
      </c>
      <c r="E25" s="14" t="n">
        <f aca="false">COUNTIF(Tasks!A3:A200,13)</f>
        <v>5</v>
      </c>
      <c r="F25" s="16" t="n">
        <f aca="false">IF(E25&gt;0,D25/E25,0)</f>
        <v>0</v>
      </c>
      <c r="G25" s="14" t="str">
        <f aca="false">IF(F25=1,"Complete",IF(F25&gt;0,"In Progress","Not Started"))</f>
        <v>Not Started</v>
      </c>
      <c r="H25" s="17"/>
    </row>
    <row r="26" customFormat="false" ht="21.75" hidden="false" customHeight="true" outlineLevel="0" collapsed="false">
      <c r="B26" s="18" t="s">
        <v>51</v>
      </c>
      <c r="C26" s="19" t="s">
        <v>52</v>
      </c>
      <c r="D26" s="20" t="n">
        <f aca="false">COUNTIFS(Tasks!A3:A200,14,Tasks!H3:H200,"Done")</f>
        <v>0</v>
      </c>
      <c r="E26" s="19" t="n">
        <f aca="false">COUNTIF(Tasks!A3:A200,14)</f>
        <v>5</v>
      </c>
      <c r="F26" s="21" t="n">
        <f aca="false">IF(E26&gt;0,D26/E26,0)</f>
        <v>0</v>
      </c>
      <c r="G26" s="19" t="str">
        <f aca="false">IF(F26=1,"Complete",IF(F26&gt;0,"In Progress","Not Started"))</f>
        <v>Not Started</v>
      </c>
      <c r="H26" s="22"/>
    </row>
    <row r="27" customFormat="false" ht="21.75" hidden="false" customHeight="true" outlineLevel="0" collapsed="false">
      <c r="B27" s="13" t="s">
        <v>53</v>
      </c>
      <c r="C27" s="14" t="s">
        <v>54</v>
      </c>
      <c r="D27" s="15" t="n">
        <f aca="false">COUNTIFS(Tasks!A3:A200,15,Tasks!H3:H200,"Done")</f>
        <v>0</v>
      </c>
      <c r="E27" s="14" t="n">
        <f aca="false">COUNTIF(Tasks!A3:A200,15)</f>
        <v>5</v>
      </c>
      <c r="F27" s="16" t="n">
        <f aca="false">IF(E27&gt;0,D27/E27,0)</f>
        <v>0</v>
      </c>
      <c r="G27" s="14" t="str">
        <f aca="false">IF(F27=1,"Complete",IF(F27&gt;0,"In Progress","Not Started"))</f>
        <v>Not Started</v>
      </c>
      <c r="H27" s="17"/>
    </row>
    <row r="28" customFormat="false" ht="21.75" hidden="false" customHeight="true" outlineLevel="0" collapsed="false">
      <c r="B28" s="18" t="s">
        <v>55</v>
      </c>
      <c r="C28" s="19" t="s">
        <v>56</v>
      </c>
      <c r="D28" s="20" t="n">
        <f aca="false">COUNTIFS(Tasks!A3:A200,16,Tasks!H3:H200,"Done")</f>
        <v>0</v>
      </c>
      <c r="E28" s="19" t="n">
        <f aca="false">COUNTIF(Tasks!A3:A200,16)</f>
        <v>5</v>
      </c>
      <c r="F28" s="21" t="n">
        <f aca="false">IF(E28&gt;0,D28/E28,0)</f>
        <v>0</v>
      </c>
      <c r="G28" s="19" t="str">
        <f aca="false">IF(F28=1,"Complete",IF(F28&gt;0,"In Progress","Not Started"))</f>
        <v>Not Started</v>
      </c>
      <c r="H28" s="22"/>
    </row>
    <row r="29" customFormat="false" ht="21.75" hidden="false" customHeight="true" outlineLevel="0" collapsed="false">
      <c r="B29" s="13" t="s">
        <v>57</v>
      </c>
      <c r="C29" s="14" t="s">
        <v>58</v>
      </c>
      <c r="D29" s="15" t="n">
        <f aca="false">COUNTIFS(Tasks!A3:A200,17,Tasks!H3:H200,"Done")</f>
        <v>0</v>
      </c>
      <c r="E29" s="14" t="n">
        <f aca="false">COUNTIF(Tasks!A3:A200,17)</f>
        <v>5</v>
      </c>
      <c r="F29" s="16" t="n">
        <f aca="false">IF(E29&gt;0,D29/E29,0)</f>
        <v>0</v>
      </c>
      <c r="G29" s="14" t="str">
        <f aca="false">IF(F29=1,"Complete",IF(F29&gt;0,"In Progress","Not Started"))</f>
        <v>Not Started</v>
      </c>
      <c r="H29" s="17"/>
    </row>
    <row r="30" customFormat="false" ht="21.75" hidden="false" customHeight="true" outlineLevel="0" collapsed="false">
      <c r="B30" s="18" t="s">
        <v>59</v>
      </c>
      <c r="C30" s="19" t="s">
        <v>60</v>
      </c>
      <c r="D30" s="20" t="n">
        <f aca="false">COUNTIFS(Tasks!A3:A200,18,Tasks!H3:H200,"Done")</f>
        <v>0</v>
      </c>
      <c r="E30" s="19" t="n">
        <f aca="false">COUNTIF(Tasks!A3:A200,18)</f>
        <v>5</v>
      </c>
      <c r="F30" s="21" t="n">
        <f aca="false">IF(E30&gt;0,D30/E30,0)</f>
        <v>0</v>
      </c>
      <c r="G30" s="19" t="str">
        <f aca="false">IF(F30=1,"Complete",IF(F30&gt;0,"In Progress","Not Started"))</f>
        <v>Not Started</v>
      </c>
      <c r="H30" s="22"/>
    </row>
    <row r="31" customFormat="false" ht="21.75" hidden="false" customHeight="true" outlineLevel="0" collapsed="false">
      <c r="B31" s="13" t="s">
        <v>61</v>
      </c>
      <c r="C31" s="14" t="s">
        <v>62</v>
      </c>
      <c r="D31" s="15" t="n">
        <f aca="false">COUNTIFS(Tasks!A3:A200,19,Tasks!H3:H200,"Done")</f>
        <v>0</v>
      </c>
      <c r="E31" s="14" t="n">
        <f aca="false">COUNTIF(Tasks!A3:A200,19)</f>
        <v>5</v>
      </c>
      <c r="F31" s="16" t="n">
        <f aca="false">IF(E31&gt;0,D31/E31,0)</f>
        <v>0</v>
      </c>
      <c r="G31" s="14" t="str">
        <f aca="false">IF(F31=1,"Complete",IF(F31&gt;0,"In Progress","Not Started"))</f>
        <v>Not Started</v>
      </c>
      <c r="H31" s="17"/>
    </row>
    <row r="32" customFormat="false" ht="21.75" hidden="false" customHeight="true" outlineLevel="0" collapsed="false">
      <c r="B32" s="18" t="s">
        <v>63</v>
      </c>
      <c r="C32" s="19" t="s">
        <v>64</v>
      </c>
      <c r="D32" s="20" t="n">
        <f aca="false">COUNTIFS(Tasks!A3:A200,20,Tasks!H3:H200,"Done")</f>
        <v>0</v>
      </c>
      <c r="E32" s="19" t="n">
        <f aca="false">COUNTIF(Tasks!A3:A200,20)</f>
        <v>5</v>
      </c>
      <c r="F32" s="21" t="n">
        <f aca="false">IF(E32&gt;0,D32/E32,0)</f>
        <v>0</v>
      </c>
      <c r="G32" s="19" t="str">
        <f aca="false">IF(F32=1,"Complete",IF(F32&gt;0,"In Progress","Not Started"))</f>
        <v>Not Started</v>
      </c>
      <c r="H32" s="22"/>
    </row>
  </sheetData>
  <mergeCells count="5">
    <mergeCell ref="B2:H2"/>
    <mergeCell ref="B4:C4"/>
    <mergeCell ref="D4:E4"/>
    <mergeCell ref="F4:G4"/>
    <mergeCell ref="B11:H11"/>
  </mergeCells>
  <conditionalFormatting sqref="G13:G32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conditionalFormatting sqref="F13:F32">
    <cfRule type="cellIs" priority="5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7" min="4" style="1" width="16"/>
    <col collapsed="false" customWidth="true" hidden="false" outlineLevel="0" max="8" min="8" style="1" width="14"/>
    <col collapsed="false" customWidth="true" hidden="false" outlineLevel="0" max="9" min="9" style="1" width="30"/>
  </cols>
  <sheetData>
    <row r="1" customFormat="false" ht="31.5" hidden="false" customHeight="true" outlineLevel="0" collapsed="false">
      <c r="A1" s="23" t="s">
        <v>65</v>
      </c>
      <c r="B1" s="23"/>
      <c r="C1" s="23"/>
      <c r="D1" s="23"/>
      <c r="E1" s="23"/>
      <c r="F1" s="23"/>
      <c r="G1" s="23"/>
      <c r="H1" s="23"/>
      <c r="I1" s="23"/>
    </row>
    <row r="2" customFormat="false" ht="27.75" hidden="false" customHeight="true" outlineLevel="0" collapsed="false">
      <c r="A2" s="24" t="s">
        <v>19</v>
      </c>
      <c r="B2" s="24" t="s">
        <v>66</v>
      </c>
      <c r="C2" s="24" t="s">
        <v>67</v>
      </c>
      <c r="D2" s="24" t="s">
        <v>68</v>
      </c>
      <c r="E2" s="24" t="s">
        <v>69</v>
      </c>
      <c r="F2" s="24" t="s">
        <v>70</v>
      </c>
      <c r="G2" s="24" t="s">
        <v>71</v>
      </c>
      <c r="H2" s="24" t="s">
        <v>24</v>
      </c>
      <c r="I2" s="24" t="s">
        <v>13</v>
      </c>
    </row>
    <row r="3" customFormat="false" ht="15" hidden="false" customHeight="true" outlineLevel="0" collapsed="false">
      <c r="A3" s="14" t="n">
        <v>1</v>
      </c>
      <c r="B3" s="25" t="s">
        <v>72</v>
      </c>
      <c r="C3" s="26" t="s">
        <v>73</v>
      </c>
      <c r="D3" s="14" t="s">
        <v>74</v>
      </c>
      <c r="E3" s="14" t="s">
        <v>74</v>
      </c>
      <c r="F3" s="14" t="s">
        <v>74</v>
      </c>
      <c r="G3" s="14" t="s">
        <v>74</v>
      </c>
      <c r="H3" s="13" t="str">
        <f aca="false">IF(AND(D3="Done",E3="Done",F3="Done",G3="Done"),"Done",IF(OR(D3="Done",E3="Done",F3="Done",G3="Done",D3="In Progress",E3="In Progress",F3="In Progress",G3="In Progress"),"In Progress","Not Started"))</f>
        <v>Done</v>
      </c>
      <c r="I3" s="17"/>
    </row>
    <row r="4" customFormat="false" ht="15" hidden="false" customHeight="true" outlineLevel="0" collapsed="false">
      <c r="A4" s="19" t="n">
        <v>1</v>
      </c>
      <c r="B4" s="27" t="s">
        <v>75</v>
      </c>
      <c r="C4" s="28" t="s">
        <v>76</v>
      </c>
      <c r="D4" s="19" t="s">
        <v>74</v>
      </c>
      <c r="E4" s="19" t="s">
        <v>74</v>
      </c>
      <c r="F4" s="19" t="s">
        <v>74</v>
      </c>
      <c r="G4" s="19" t="s">
        <v>74</v>
      </c>
      <c r="H4" s="18" t="str">
        <f aca="false">IF(AND(D4="Done",E4="Done",F4="Done",G4="Done"),"Done",IF(OR(D4="Done",E4="Done",F4="Done",G4="Done",D4="In Progress",E4="In Progress",F4="In Progress",G4="In Progress"),"In Progress","Not Started"))</f>
        <v>Done</v>
      </c>
      <c r="I4" s="22"/>
    </row>
    <row r="5" customFormat="false" ht="15" hidden="false" customHeight="true" outlineLevel="0" collapsed="false">
      <c r="A5" s="14" t="n">
        <v>1</v>
      </c>
      <c r="B5" s="25" t="s">
        <v>77</v>
      </c>
      <c r="C5" s="26" t="s">
        <v>78</v>
      </c>
      <c r="D5" s="14" t="s">
        <v>74</v>
      </c>
      <c r="E5" s="14" t="s">
        <v>74</v>
      </c>
      <c r="F5" s="14" t="s">
        <v>74</v>
      </c>
      <c r="G5" s="14" t="s">
        <v>74</v>
      </c>
      <c r="H5" s="13" t="str">
        <f aca="false">IF(AND(D5="Done",E5="Done",F5="Done",G5="Done"),"Done",IF(OR(D5="Done",E5="Done",F5="Done",G5="Done",D5="In Progress",E5="In Progress",F5="In Progress",G5="In Progress"),"In Progress","Not Started"))</f>
        <v>Done</v>
      </c>
      <c r="I5" s="17"/>
    </row>
    <row r="6" customFormat="false" ht="15" hidden="false" customHeight="true" outlineLevel="0" collapsed="false">
      <c r="A6" s="19" t="n">
        <v>1</v>
      </c>
      <c r="B6" s="27" t="s">
        <v>79</v>
      </c>
      <c r="C6" s="28" t="s">
        <v>80</v>
      </c>
      <c r="D6" s="19" t="s">
        <v>74</v>
      </c>
      <c r="E6" s="19" t="s">
        <v>74</v>
      </c>
      <c r="F6" s="19" t="s">
        <v>74</v>
      </c>
      <c r="G6" s="19" t="s">
        <v>74</v>
      </c>
      <c r="H6" s="18" t="str">
        <f aca="false">IF(AND(D6="Done",E6="Done",F6="Done",G6="Done"),"Done",IF(OR(D6="Done",E6="Done",F6="Done",G6="Done",D6="In Progress",E6="In Progress",F6="In Progress",G6="In Progress"),"In Progress","Not Started"))</f>
        <v>Done</v>
      </c>
      <c r="I6" s="22"/>
    </row>
    <row r="7" customFormat="false" ht="15" hidden="false" customHeight="true" outlineLevel="0" collapsed="false">
      <c r="A7" s="14" t="n">
        <v>1</v>
      </c>
      <c r="B7" s="25" t="s">
        <v>81</v>
      </c>
      <c r="C7" s="26" t="s">
        <v>82</v>
      </c>
      <c r="D7" s="14" t="s">
        <v>74</v>
      </c>
      <c r="E7" s="14" t="s">
        <v>74</v>
      </c>
      <c r="F7" s="14" t="s">
        <v>74</v>
      </c>
      <c r="G7" s="14" t="s">
        <v>74</v>
      </c>
      <c r="H7" s="13" t="str">
        <f aca="false">IF(AND(D7="Done",E7="Done",F7="Done",G7="Done"),"Done",IF(OR(D7="Done",E7="Done",F7="Done",G7="Done",D7="In Progress",E7="In Progress",F7="In Progress",G7="In Progress"),"In Progress","Not Started"))</f>
        <v>Done</v>
      </c>
      <c r="I7" s="17"/>
    </row>
    <row r="8" customFormat="false" ht="15" hidden="false" customHeight="true" outlineLevel="0" collapsed="false">
      <c r="A8" s="19" t="n">
        <v>2</v>
      </c>
      <c r="B8" s="27" t="s">
        <v>83</v>
      </c>
      <c r="C8" s="28" t="s">
        <v>84</v>
      </c>
      <c r="D8" s="19" t="s">
        <v>74</v>
      </c>
      <c r="E8" s="19" t="s">
        <v>15</v>
      </c>
      <c r="F8" s="19" t="s">
        <v>15</v>
      </c>
      <c r="G8" s="19" t="s">
        <v>74</v>
      </c>
      <c r="H8" s="18" t="str">
        <f aca="false">IF(AND(D8="Done",E8="Done",F8="Done",G8="Done"),"Done",IF(OR(D8="Done",E8="Done",F8="Done",G8="Done",D8="In Progress",E8="In Progress",F8="In Progress",G8="In Progress"),"In Progress","Not Started"))</f>
        <v>In Progress</v>
      </c>
      <c r="I8" s="22" t="s">
        <v>85</v>
      </c>
    </row>
    <row r="9" customFormat="false" ht="15" hidden="false" customHeight="true" outlineLevel="0" collapsed="false">
      <c r="A9" s="14" t="n">
        <v>2</v>
      </c>
      <c r="B9" s="25" t="s">
        <v>86</v>
      </c>
      <c r="C9" s="26" t="s">
        <v>87</v>
      </c>
      <c r="D9" s="14" t="s">
        <v>74</v>
      </c>
      <c r="E9" s="14" t="s">
        <v>15</v>
      </c>
      <c r="F9" s="14" t="s">
        <v>15</v>
      </c>
      <c r="G9" s="14" t="s">
        <v>74</v>
      </c>
      <c r="H9" s="13" t="str">
        <f aca="false">IF(AND(D9="Done",E9="Done",F9="Done",G9="Done"),"Done",IF(OR(D9="Done",E9="Done",F9="Done",G9="Done",D9="In Progress",E9="In Progress",F9="In Progress",G9="In Progress"),"In Progress","Not Started"))</f>
        <v>In Progress</v>
      </c>
      <c r="I9" s="17" t="s">
        <v>85</v>
      </c>
    </row>
    <row r="10" customFormat="false" ht="15" hidden="false" customHeight="true" outlineLevel="0" collapsed="false">
      <c r="A10" s="19" t="n">
        <v>2</v>
      </c>
      <c r="B10" s="27" t="s">
        <v>88</v>
      </c>
      <c r="C10" s="28" t="s">
        <v>89</v>
      </c>
      <c r="D10" s="19" t="s">
        <v>74</v>
      </c>
      <c r="E10" s="19" t="s">
        <v>15</v>
      </c>
      <c r="F10" s="19" t="s">
        <v>15</v>
      </c>
      <c r="G10" s="19" t="s">
        <v>74</v>
      </c>
      <c r="H10" s="18" t="str">
        <f aca="false">IF(AND(D10="Done",E10="Done",F10="Done",G10="Done"),"Done",IF(OR(D10="Done",E10="Done",F10="Done",G10="Done",D10="In Progress",E10="In Progress",F10="In Progress",G10="In Progress"),"In Progress","Not Started"))</f>
        <v>In Progress</v>
      </c>
      <c r="I10" s="22" t="s">
        <v>85</v>
      </c>
    </row>
    <row r="11" customFormat="false" ht="15" hidden="false" customHeight="true" outlineLevel="0" collapsed="false">
      <c r="A11" s="14" t="n">
        <v>2</v>
      </c>
      <c r="B11" s="25" t="s">
        <v>90</v>
      </c>
      <c r="C11" s="26" t="s">
        <v>91</v>
      </c>
      <c r="D11" s="14" t="s">
        <v>74</v>
      </c>
      <c r="E11" s="14" t="s">
        <v>15</v>
      </c>
      <c r="F11" s="14" t="s">
        <v>15</v>
      </c>
      <c r="G11" s="14" t="s">
        <v>74</v>
      </c>
      <c r="H11" s="13" t="str">
        <f aca="false">IF(AND(D11="Done",E11="Done",F11="Done",G11="Done"),"Done",IF(OR(D11="Done",E11="Done",F11="Done",G11="Done",D11="In Progress",E11="In Progress",F11="In Progress",G11="In Progress"),"In Progress","Not Started"))</f>
        <v>In Progress</v>
      </c>
      <c r="I11" s="17" t="s">
        <v>85</v>
      </c>
    </row>
    <row r="12" customFormat="false" ht="15" hidden="false" customHeight="true" outlineLevel="0" collapsed="false">
      <c r="A12" s="19" t="n">
        <v>2</v>
      </c>
      <c r="B12" s="27" t="s">
        <v>92</v>
      </c>
      <c r="C12" s="28" t="s">
        <v>93</v>
      </c>
      <c r="D12" s="19" t="s">
        <v>74</v>
      </c>
      <c r="E12" s="19" t="s">
        <v>15</v>
      </c>
      <c r="F12" s="19" t="s">
        <v>15</v>
      </c>
      <c r="G12" s="19" t="s">
        <v>74</v>
      </c>
      <c r="H12" s="18" t="str">
        <f aca="false">IF(AND(D12="Done",E12="Done",F12="Done",G12="Done"),"Done",IF(OR(D12="Done",E12="Done",F12="Done",G12="Done",D12="In Progress",E12="In Progress",F12="In Progress",G12="In Progress"),"In Progress","Not Started"))</f>
        <v>In Progress</v>
      </c>
      <c r="I12" s="22" t="s">
        <v>85</v>
      </c>
    </row>
    <row r="13" customFormat="false" ht="15" hidden="false" customHeight="true" outlineLevel="0" collapsed="false">
      <c r="A13" s="14" t="n">
        <v>3</v>
      </c>
      <c r="B13" s="25" t="s">
        <v>94</v>
      </c>
      <c r="C13" s="26" t="s">
        <v>95</v>
      </c>
      <c r="D13" s="14" t="s">
        <v>74</v>
      </c>
      <c r="E13" s="14" t="s">
        <v>15</v>
      </c>
      <c r="F13" s="14" t="s">
        <v>15</v>
      </c>
      <c r="G13" s="14" t="s">
        <v>74</v>
      </c>
      <c r="H13" s="13" t="str">
        <f aca="false">IF(AND(D13="Done",E13="Done",F13="Done",G13="Done"),"Done",IF(OR(D13="Done",E13="Done",F13="Done",G13="Done",D13="In Progress",E13="In Progress",F13="In Progress",G13="In Progress"),"In Progress","Not Started"))</f>
        <v>In Progress</v>
      </c>
      <c r="I13" s="17" t="s">
        <v>85</v>
      </c>
    </row>
    <row r="14" customFormat="false" ht="15" hidden="false" customHeight="true" outlineLevel="0" collapsed="false">
      <c r="A14" s="19" t="n">
        <v>3</v>
      </c>
      <c r="B14" s="27" t="s">
        <v>96</v>
      </c>
      <c r="C14" s="28" t="s">
        <v>97</v>
      </c>
      <c r="D14" s="19" t="s">
        <v>74</v>
      </c>
      <c r="E14" s="19" t="s">
        <v>15</v>
      </c>
      <c r="F14" s="19" t="s">
        <v>15</v>
      </c>
      <c r="G14" s="19" t="s">
        <v>74</v>
      </c>
      <c r="H14" s="18" t="str">
        <f aca="false">IF(AND(D14="Done",E14="Done",F14="Done",G14="Done"),"Done",IF(OR(D14="Done",E14="Done",F14="Done",G14="Done",D14="In Progress",E14="In Progress",F14="In Progress",G14="In Progress"),"In Progress","Not Started"))</f>
        <v>In Progress</v>
      </c>
      <c r="I14" s="22" t="s">
        <v>85</v>
      </c>
    </row>
    <row r="15" customFormat="false" ht="15" hidden="false" customHeight="true" outlineLevel="0" collapsed="false">
      <c r="A15" s="14" t="n">
        <v>3</v>
      </c>
      <c r="B15" s="25" t="s">
        <v>98</v>
      </c>
      <c r="C15" s="26" t="s">
        <v>99</v>
      </c>
      <c r="D15" s="14" t="s">
        <v>74</v>
      </c>
      <c r="E15" s="14" t="s">
        <v>15</v>
      </c>
      <c r="F15" s="14" t="s">
        <v>15</v>
      </c>
      <c r="G15" s="14" t="s">
        <v>74</v>
      </c>
      <c r="H15" s="13" t="str">
        <f aca="false">IF(AND(D15="Done",E15="Done",F15="Done",G15="Done"),"Done",IF(OR(D15="Done",E15="Done",F15="Done",G15="Done",D15="In Progress",E15="In Progress",F15="In Progress",G15="In Progress"),"In Progress","Not Started"))</f>
        <v>In Progress</v>
      </c>
      <c r="I15" s="17" t="s">
        <v>85</v>
      </c>
    </row>
    <row r="16" customFormat="false" ht="15" hidden="false" customHeight="true" outlineLevel="0" collapsed="false">
      <c r="A16" s="19" t="n">
        <v>3</v>
      </c>
      <c r="B16" s="27" t="s">
        <v>100</v>
      </c>
      <c r="C16" s="28" t="s">
        <v>101</v>
      </c>
      <c r="D16" s="19" t="s">
        <v>74</v>
      </c>
      <c r="E16" s="19" t="s">
        <v>15</v>
      </c>
      <c r="F16" s="19" t="s">
        <v>15</v>
      </c>
      <c r="G16" s="19" t="s">
        <v>74</v>
      </c>
      <c r="H16" s="18" t="str">
        <f aca="false">IF(AND(D16="Done",E16="Done",F16="Done",G16="Done"),"Done",IF(OR(D16="Done",E16="Done",F16="Done",G16="Done",D16="In Progress",E16="In Progress",F16="In Progress",G16="In Progress"),"In Progress","Not Started"))</f>
        <v>In Progress</v>
      </c>
      <c r="I16" s="22" t="s">
        <v>85</v>
      </c>
    </row>
    <row r="17" customFormat="false" ht="15" hidden="false" customHeight="true" outlineLevel="0" collapsed="false">
      <c r="A17" s="14" t="n">
        <v>3</v>
      </c>
      <c r="B17" s="25" t="s">
        <v>102</v>
      </c>
      <c r="C17" s="26" t="s">
        <v>103</v>
      </c>
      <c r="D17" s="14" t="s">
        <v>74</v>
      </c>
      <c r="E17" s="14" t="s">
        <v>15</v>
      </c>
      <c r="F17" s="14" t="s">
        <v>15</v>
      </c>
      <c r="G17" s="14" t="s">
        <v>74</v>
      </c>
      <c r="H17" s="13" t="str">
        <f aca="false">IF(AND(D17="Done",E17="Done",F17="Done",G17="Done"),"Done",IF(OR(D17="Done",E17="Done",F17="Done",G17="Done",D17="In Progress",E17="In Progress",F17="In Progress",G17="In Progress"),"In Progress","Not Started"))</f>
        <v>In Progress</v>
      </c>
      <c r="I17" s="17" t="s">
        <v>85</v>
      </c>
    </row>
    <row r="18" customFormat="false" ht="15" hidden="false" customHeight="true" outlineLevel="0" collapsed="false">
      <c r="A18" s="19" t="n">
        <v>4</v>
      </c>
      <c r="B18" s="27" t="s">
        <v>104</v>
      </c>
      <c r="C18" s="28" t="s">
        <v>105</v>
      </c>
      <c r="D18" s="19" t="s">
        <v>74</v>
      </c>
      <c r="E18" s="19" t="s">
        <v>15</v>
      </c>
      <c r="F18" s="19" t="s">
        <v>15</v>
      </c>
      <c r="G18" s="19" t="s">
        <v>74</v>
      </c>
      <c r="H18" s="18" t="str">
        <f aca="false">IF(AND(D18="Done",E18="Done",F18="Done",G18="Done"),"Done",IF(OR(D18="Done",E18="Done",F18="Done",G18="Done",D18="In Progress",E18="In Progress",F18="In Progress",G18="In Progress"),"In Progress","Not Started"))</f>
        <v>In Progress</v>
      </c>
      <c r="I18" s="22" t="s">
        <v>85</v>
      </c>
    </row>
    <row r="19" customFormat="false" ht="15" hidden="false" customHeight="true" outlineLevel="0" collapsed="false">
      <c r="A19" s="14" t="n">
        <v>4</v>
      </c>
      <c r="B19" s="25" t="s">
        <v>106</v>
      </c>
      <c r="C19" s="26" t="s">
        <v>107</v>
      </c>
      <c r="D19" s="14" t="s">
        <v>74</v>
      </c>
      <c r="E19" s="14" t="s">
        <v>15</v>
      </c>
      <c r="F19" s="14" t="s">
        <v>15</v>
      </c>
      <c r="G19" s="14" t="s">
        <v>74</v>
      </c>
      <c r="H19" s="13" t="str">
        <f aca="false">IF(AND(D19="Done",E19="Done",F19="Done",G19="Done"),"Done",IF(OR(D19="Done",E19="Done",F19="Done",G19="Done",D19="In Progress",E19="In Progress",F19="In Progress",G19="In Progress"),"In Progress","Not Started"))</f>
        <v>In Progress</v>
      </c>
      <c r="I19" s="17" t="s">
        <v>85</v>
      </c>
    </row>
    <row r="20" customFormat="false" ht="15" hidden="false" customHeight="true" outlineLevel="0" collapsed="false">
      <c r="A20" s="19" t="n">
        <v>4</v>
      </c>
      <c r="B20" s="27" t="s">
        <v>108</v>
      </c>
      <c r="C20" s="28" t="s">
        <v>109</v>
      </c>
      <c r="D20" s="19" t="s">
        <v>74</v>
      </c>
      <c r="E20" s="19" t="s">
        <v>15</v>
      </c>
      <c r="F20" s="19" t="s">
        <v>15</v>
      </c>
      <c r="G20" s="19" t="s">
        <v>74</v>
      </c>
      <c r="H20" s="18" t="str">
        <f aca="false">IF(AND(D20="Done",E20="Done",F20="Done",G20="Done"),"Done",IF(OR(D20="Done",E20="Done",F20="Done",G20="Done",D20="In Progress",E20="In Progress",F20="In Progress",G20="In Progress"),"In Progress","Not Started"))</f>
        <v>In Progress</v>
      </c>
      <c r="I20" s="22" t="s">
        <v>85</v>
      </c>
    </row>
    <row r="21" customFormat="false" ht="15" hidden="false" customHeight="true" outlineLevel="0" collapsed="false">
      <c r="A21" s="14" t="n">
        <v>4</v>
      </c>
      <c r="B21" s="25" t="s">
        <v>110</v>
      </c>
      <c r="C21" s="26" t="s">
        <v>111</v>
      </c>
      <c r="D21" s="14" t="s">
        <v>74</v>
      </c>
      <c r="E21" s="14" t="s">
        <v>15</v>
      </c>
      <c r="F21" s="14" t="s">
        <v>15</v>
      </c>
      <c r="G21" s="14" t="s">
        <v>74</v>
      </c>
      <c r="H21" s="13" t="str">
        <f aca="false">IF(AND(D21="Done",E21="Done",F21="Done",G21="Done"),"Done",IF(OR(D21="Done",E21="Done",F21="Done",G21="Done",D21="In Progress",E21="In Progress",F21="In Progress",G21="In Progress"),"In Progress","Not Started"))</f>
        <v>In Progress</v>
      </c>
      <c r="I21" s="17" t="s">
        <v>85</v>
      </c>
    </row>
    <row r="22" customFormat="false" ht="15" hidden="false" customHeight="true" outlineLevel="0" collapsed="false">
      <c r="A22" s="19" t="n">
        <v>4</v>
      </c>
      <c r="B22" s="27" t="s">
        <v>112</v>
      </c>
      <c r="C22" s="28" t="s">
        <v>113</v>
      </c>
      <c r="D22" s="19" t="s">
        <v>74</v>
      </c>
      <c r="E22" s="19" t="s">
        <v>15</v>
      </c>
      <c r="F22" s="19" t="s">
        <v>15</v>
      </c>
      <c r="G22" s="19" t="s">
        <v>74</v>
      </c>
      <c r="H22" s="18" t="str">
        <f aca="false">IF(AND(D22="Done",E22="Done",F22="Done",G22="Done"),"Done",IF(OR(D22="Done",E22="Done",F22="Done",G22="Done",D22="In Progress",E22="In Progress",F22="In Progress",G22="In Progress"),"In Progress","Not Started"))</f>
        <v>In Progress</v>
      </c>
      <c r="I22" s="22" t="s">
        <v>85</v>
      </c>
    </row>
    <row r="23" customFormat="false" ht="15" hidden="false" customHeight="true" outlineLevel="0" collapsed="false">
      <c r="A23" s="14" t="n">
        <v>5</v>
      </c>
      <c r="B23" s="25" t="s">
        <v>114</v>
      </c>
      <c r="C23" s="26" t="s">
        <v>115</v>
      </c>
      <c r="D23" s="14" t="s">
        <v>15</v>
      </c>
      <c r="E23" s="14" t="s">
        <v>15</v>
      </c>
      <c r="F23" s="14" t="s">
        <v>15</v>
      </c>
      <c r="G23" s="14" t="s">
        <v>15</v>
      </c>
      <c r="H23" s="13" t="str">
        <f aca="false">IF(AND(D23="Done",E23="Done",F23="Done",G23="Done"),"Done",IF(OR(D23="Done",E23="Done",F23="Done",G23="Done",D23="In Progress",E23="In Progress",F23="In Progress",G23="In Progress"),"In Progress","Not Started"))</f>
        <v>Not Started</v>
      </c>
      <c r="I23" s="17"/>
    </row>
    <row r="24" customFormat="false" ht="15" hidden="false" customHeight="true" outlineLevel="0" collapsed="false">
      <c r="A24" s="19" t="n">
        <v>5</v>
      </c>
      <c r="B24" s="27" t="s">
        <v>116</v>
      </c>
      <c r="C24" s="28" t="s">
        <v>117</v>
      </c>
      <c r="D24" s="19" t="s">
        <v>15</v>
      </c>
      <c r="E24" s="19" t="s">
        <v>15</v>
      </c>
      <c r="F24" s="19" t="s">
        <v>15</v>
      </c>
      <c r="G24" s="19" t="s">
        <v>15</v>
      </c>
      <c r="H24" s="18" t="str">
        <f aca="false">IF(AND(D24="Done",E24="Done",F24="Done",G24="Done"),"Done",IF(OR(D24="Done",E24="Done",F24="Done",G24="Done",D24="In Progress",E24="In Progress",F24="In Progress",G24="In Progress"),"In Progress","Not Started"))</f>
        <v>Not Started</v>
      </c>
      <c r="I24" s="22"/>
    </row>
    <row r="25" customFormat="false" ht="15" hidden="false" customHeight="true" outlineLevel="0" collapsed="false">
      <c r="A25" s="14" t="n">
        <v>5</v>
      </c>
      <c r="B25" s="25" t="s">
        <v>118</v>
      </c>
      <c r="C25" s="26" t="s">
        <v>119</v>
      </c>
      <c r="D25" s="14" t="s">
        <v>15</v>
      </c>
      <c r="E25" s="14" t="s">
        <v>15</v>
      </c>
      <c r="F25" s="14" t="s">
        <v>15</v>
      </c>
      <c r="G25" s="14" t="s">
        <v>15</v>
      </c>
      <c r="H25" s="13" t="str">
        <f aca="false">IF(AND(D25="Done",E25="Done",F25="Done",G25="Done"),"Done",IF(OR(D25="Done",E25="Done",F25="Done",G25="Done",D25="In Progress",E25="In Progress",F25="In Progress",G25="In Progress"),"In Progress","Not Started"))</f>
        <v>Not Started</v>
      </c>
      <c r="I25" s="17"/>
    </row>
    <row r="26" customFormat="false" ht="15" hidden="false" customHeight="true" outlineLevel="0" collapsed="false">
      <c r="A26" s="19" t="n">
        <v>5</v>
      </c>
      <c r="B26" s="27" t="s">
        <v>120</v>
      </c>
      <c r="C26" s="28" t="s">
        <v>121</v>
      </c>
      <c r="D26" s="19" t="s">
        <v>15</v>
      </c>
      <c r="E26" s="19" t="s">
        <v>15</v>
      </c>
      <c r="F26" s="19" t="s">
        <v>15</v>
      </c>
      <c r="G26" s="19" t="s">
        <v>15</v>
      </c>
      <c r="H26" s="18" t="str">
        <f aca="false">IF(AND(D26="Done",E26="Done",F26="Done",G26="Done"),"Done",IF(OR(D26="Done",E26="Done",F26="Done",G26="Done",D26="In Progress",E26="In Progress",F26="In Progress",G26="In Progress"),"In Progress","Not Started"))</f>
        <v>Not Started</v>
      </c>
      <c r="I26" s="22"/>
    </row>
    <row r="27" customFormat="false" ht="15" hidden="false" customHeight="true" outlineLevel="0" collapsed="false">
      <c r="A27" s="14" t="n">
        <v>5</v>
      </c>
      <c r="B27" s="25" t="s">
        <v>122</v>
      </c>
      <c r="C27" s="26" t="s">
        <v>123</v>
      </c>
      <c r="D27" s="14" t="s">
        <v>15</v>
      </c>
      <c r="E27" s="14" t="s">
        <v>15</v>
      </c>
      <c r="F27" s="14" t="s">
        <v>15</v>
      </c>
      <c r="G27" s="14" t="s">
        <v>15</v>
      </c>
      <c r="H27" s="13" t="str">
        <f aca="false">IF(AND(D27="Done",E27="Done",F27="Done",G27="Done"),"Done",IF(OR(D27="Done",E27="Done",F27="Done",G27="Done",D27="In Progress",E27="In Progress",F27="In Progress",G27="In Progress"),"In Progress","Not Started"))</f>
        <v>Not Started</v>
      </c>
      <c r="I27" s="17"/>
    </row>
    <row r="28" customFormat="false" ht="15" hidden="false" customHeight="true" outlineLevel="0" collapsed="false">
      <c r="A28" s="19" t="n">
        <v>6</v>
      </c>
      <c r="B28" s="27" t="s">
        <v>124</v>
      </c>
      <c r="C28" s="28" t="s">
        <v>125</v>
      </c>
      <c r="D28" s="19" t="s">
        <v>15</v>
      </c>
      <c r="E28" s="19" t="s">
        <v>15</v>
      </c>
      <c r="F28" s="19" t="s">
        <v>15</v>
      </c>
      <c r="G28" s="19" t="s">
        <v>15</v>
      </c>
      <c r="H28" s="18" t="str">
        <f aca="false">IF(AND(D28="Done",E28="Done",F28="Done",G28="Done"),"Done",IF(OR(D28="Done",E28="Done",F28="Done",G28="Done",D28="In Progress",E28="In Progress",F28="In Progress",G28="In Progress"),"In Progress","Not Started"))</f>
        <v>Not Started</v>
      </c>
      <c r="I28" s="22"/>
    </row>
    <row r="29" customFormat="false" ht="15" hidden="false" customHeight="true" outlineLevel="0" collapsed="false">
      <c r="A29" s="14" t="n">
        <v>6</v>
      </c>
      <c r="B29" s="25" t="s">
        <v>126</v>
      </c>
      <c r="C29" s="26" t="s">
        <v>127</v>
      </c>
      <c r="D29" s="14" t="s">
        <v>15</v>
      </c>
      <c r="E29" s="14" t="s">
        <v>15</v>
      </c>
      <c r="F29" s="14" t="s">
        <v>15</v>
      </c>
      <c r="G29" s="14" t="s">
        <v>15</v>
      </c>
      <c r="H29" s="13" t="str">
        <f aca="false">IF(AND(D29="Done",E29="Done",F29="Done",G29="Done"),"Done",IF(OR(D29="Done",E29="Done",F29="Done",G29="Done",D29="In Progress",E29="In Progress",F29="In Progress",G29="In Progress"),"In Progress","Not Started"))</f>
        <v>Not Started</v>
      </c>
      <c r="I29" s="17"/>
    </row>
    <row r="30" customFormat="false" ht="15" hidden="false" customHeight="true" outlineLevel="0" collapsed="false">
      <c r="A30" s="19" t="n">
        <v>6</v>
      </c>
      <c r="B30" s="27" t="s">
        <v>128</v>
      </c>
      <c r="C30" s="28" t="s">
        <v>129</v>
      </c>
      <c r="D30" s="19" t="s">
        <v>15</v>
      </c>
      <c r="E30" s="19" t="s">
        <v>15</v>
      </c>
      <c r="F30" s="19" t="s">
        <v>15</v>
      </c>
      <c r="G30" s="19" t="s">
        <v>15</v>
      </c>
      <c r="H30" s="18" t="str">
        <f aca="false">IF(AND(D30="Done",E30="Done",F30="Done",G30="Done"),"Done",IF(OR(D30="Done",E30="Done",F30="Done",G30="Done",D30="In Progress",E30="In Progress",F30="In Progress",G30="In Progress"),"In Progress","Not Started"))</f>
        <v>Not Started</v>
      </c>
      <c r="I30" s="22"/>
    </row>
    <row r="31" customFormat="false" ht="15" hidden="false" customHeight="true" outlineLevel="0" collapsed="false">
      <c r="A31" s="14" t="n">
        <v>6</v>
      </c>
      <c r="B31" s="25" t="s">
        <v>130</v>
      </c>
      <c r="C31" s="26" t="s">
        <v>131</v>
      </c>
      <c r="D31" s="14" t="s">
        <v>15</v>
      </c>
      <c r="E31" s="14" t="s">
        <v>15</v>
      </c>
      <c r="F31" s="14" t="s">
        <v>15</v>
      </c>
      <c r="G31" s="14" t="s">
        <v>15</v>
      </c>
      <c r="H31" s="13" t="str">
        <f aca="false">IF(AND(D31="Done",E31="Done",F31="Done",G31="Done"),"Done",IF(OR(D31="Done",E31="Done",F31="Done",G31="Done",D31="In Progress",E31="In Progress",F31="In Progress",G31="In Progress"),"In Progress","Not Started"))</f>
        <v>Not Started</v>
      </c>
      <c r="I31" s="17"/>
    </row>
    <row r="32" customFormat="false" ht="15" hidden="false" customHeight="true" outlineLevel="0" collapsed="false">
      <c r="A32" s="19" t="n">
        <v>6</v>
      </c>
      <c r="B32" s="27" t="s">
        <v>132</v>
      </c>
      <c r="C32" s="28" t="s">
        <v>123</v>
      </c>
      <c r="D32" s="19" t="s">
        <v>15</v>
      </c>
      <c r="E32" s="19" t="s">
        <v>15</v>
      </c>
      <c r="F32" s="19" t="s">
        <v>15</v>
      </c>
      <c r="G32" s="19" t="s">
        <v>15</v>
      </c>
      <c r="H32" s="18" t="str">
        <f aca="false">IF(AND(D32="Done",E32="Done",F32="Done",G32="Done"),"Done",IF(OR(D32="Done",E32="Done",F32="Done",G32="Done",D32="In Progress",E32="In Progress",F32="In Progress",G32="In Progress"),"In Progress","Not Started"))</f>
        <v>Not Started</v>
      </c>
      <c r="I32" s="22"/>
    </row>
    <row r="33" customFormat="false" ht="15" hidden="false" customHeight="true" outlineLevel="0" collapsed="false">
      <c r="A33" s="14" t="n">
        <v>7</v>
      </c>
      <c r="B33" s="25" t="s">
        <v>133</v>
      </c>
      <c r="C33" s="26" t="s">
        <v>134</v>
      </c>
      <c r="D33" s="14" t="s">
        <v>15</v>
      </c>
      <c r="E33" s="14" t="s">
        <v>15</v>
      </c>
      <c r="F33" s="14" t="s">
        <v>15</v>
      </c>
      <c r="G33" s="14" t="s">
        <v>15</v>
      </c>
      <c r="H33" s="13" t="str">
        <f aca="false">IF(AND(D33="Done",E33="Done",F33="Done",G33="Done"),"Done",IF(OR(D33="Done",E33="Done",F33="Done",G33="Done",D33="In Progress",E33="In Progress",F33="In Progress",G33="In Progress"),"In Progress","Not Started"))</f>
        <v>Not Started</v>
      </c>
      <c r="I33" s="17"/>
    </row>
    <row r="34" customFormat="false" ht="15" hidden="false" customHeight="true" outlineLevel="0" collapsed="false">
      <c r="A34" s="19" t="n">
        <v>7</v>
      </c>
      <c r="B34" s="27" t="s">
        <v>135</v>
      </c>
      <c r="C34" s="28" t="s">
        <v>136</v>
      </c>
      <c r="D34" s="19" t="s">
        <v>15</v>
      </c>
      <c r="E34" s="19" t="s">
        <v>15</v>
      </c>
      <c r="F34" s="19" t="s">
        <v>15</v>
      </c>
      <c r="G34" s="19" t="s">
        <v>15</v>
      </c>
      <c r="H34" s="18" t="str">
        <f aca="false">IF(AND(D34="Done",E34="Done",F34="Done",G34="Done"),"Done",IF(OR(D34="Done",E34="Done",F34="Done",G34="Done",D34="In Progress",E34="In Progress",F34="In Progress",G34="In Progress"),"In Progress","Not Started"))</f>
        <v>Not Started</v>
      </c>
      <c r="I34" s="22"/>
    </row>
    <row r="35" customFormat="false" ht="15" hidden="false" customHeight="true" outlineLevel="0" collapsed="false">
      <c r="A35" s="14" t="n">
        <v>7</v>
      </c>
      <c r="B35" s="25" t="s">
        <v>137</v>
      </c>
      <c r="C35" s="26" t="s">
        <v>138</v>
      </c>
      <c r="D35" s="14" t="s">
        <v>15</v>
      </c>
      <c r="E35" s="14" t="s">
        <v>15</v>
      </c>
      <c r="F35" s="14" t="s">
        <v>15</v>
      </c>
      <c r="G35" s="14" t="s">
        <v>15</v>
      </c>
      <c r="H35" s="13" t="str">
        <f aca="false">IF(AND(D35="Done",E35="Done",F35="Done",G35="Done"),"Done",IF(OR(D35="Done",E35="Done",F35="Done",G35="Done",D35="In Progress",E35="In Progress",F35="In Progress",G35="In Progress"),"In Progress","Not Started"))</f>
        <v>Not Started</v>
      </c>
      <c r="I35" s="17"/>
    </row>
    <row r="36" customFormat="false" ht="15" hidden="false" customHeight="true" outlineLevel="0" collapsed="false">
      <c r="A36" s="19" t="n">
        <v>7</v>
      </c>
      <c r="B36" s="27" t="s">
        <v>139</v>
      </c>
      <c r="C36" s="28" t="s">
        <v>140</v>
      </c>
      <c r="D36" s="19" t="s">
        <v>15</v>
      </c>
      <c r="E36" s="19" t="s">
        <v>15</v>
      </c>
      <c r="F36" s="19" t="s">
        <v>15</v>
      </c>
      <c r="G36" s="19" t="s">
        <v>15</v>
      </c>
      <c r="H36" s="18" t="str">
        <f aca="false">IF(AND(D36="Done",E36="Done",F36="Done",G36="Done"),"Done",IF(OR(D36="Done",E36="Done",F36="Done",G36="Done",D36="In Progress",E36="In Progress",F36="In Progress",G36="In Progress"),"In Progress","Not Started"))</f>
        <v>Not Started</v>
      </c>
      <c r="I36" s="22"/>
    </row>
    <row r="37" customFormat="false" ht="15" hidden="false" customHeight="true" outlineLevel="0" collapsed="false">
      <c r="A37" s="14" t="n">
        <v>7</v>
      </c>
      <c r="B37" s="25" t="s">
        <v>141</v>
      </c>
      <c r="C37" s="26" t="s">
        <v>123</v>
      </c>
      <c r="D37" s="14" t="s">
        <v>15</v>
      </c>
      <c r="E37" s="14" t="s">
        <v>15</v>
      </c>
      <c r="F37" s="14" t="s">
        <v>15</v>
      </c>
      <c r="G37" s="14" t="s">
        <v>15</v>
      </c>
      <c r="H37" s="13" t="str">
        <f aca="false">IF(AND(D37="Done",E37="Done",F37="Done",G37="Done"),"Done",IF(OR(D37="Done",E37="Done",F37="Done",G37="Done",D37="In Progress",E37="In Progress",F37="In Progress",G37="In Progress"),"In Progress","Not Started"))</f>
        <v>Not Started</v>
      </c>
      <c r="I37" s="17"/>
    </row>
    <row r="38" customFormat="false" ht="15" hidden="false" customHeight="true" outlineLevel="0" collapsed="false">
      <c r="A38" s="19" t="n">
        <v>8</v>
      </c>
      <c r="B38" s="27" t="s">
        <v>142</v>
      </c>
      <c r="C38" s="28" t="s">
        <v>143</v>
      </c>
      <c r="D38" s="19" t="s">
        <v>15</v>
      </c>
      <c r="E38" s="19" t="s">
        <v>15</v>
      </c>
      <c r="F38" s="19" t="s">
        <v>15</v>
      </c>
      <c r="G38" s="19" t="s">
        <v>15</v>
      </c>
      <c r="H38" s="18" t="str">
        <f aca="false">IF(AND(D38="Done",E38="Done",F38="Done",G38="Done"),"Done",IF(OR(D38="Done",E38="Done",F38="Done",G38="Done",D38="In Progress",E38="In Progress",F38="In Progress",G38="In Progress"),"In Progress","Not Started"))</f>
        <v>Not Started</v>
      </c>
      <c r="I38" s="22"/>
    </row>
    <row r="39" customFormat="false" ht="15" hidden="false" customHeight="true" outlineLevel="0" collapsed="false">
      <c r="A39" s="14" t="n">
        <v>8</v>
      </c>
      <c r="B39" s="25" t="s">
        <v>144</v>
      </c>
      <c r="C39" s="26" t="s">
        <v>145</v>
      </c>
      <c r="D39" s="14" t="s">
        <v>15</v>
      </c>
      <c r="E39" s="14" t="s">
        <v>15</v>
      </c>
      <c r="F39" s="14" t="s">
        <v>15</v>
      </c>
      <c r="G39" s="14" t="s">
        <v>15</v>
      </c>
      <c r="H39" s="13" t="str">
        <f aca="false">IF(AND(D39="Done",E39="Done",F39="Done",G39="Done"),"Done",IF(OR(D39="Done",E39="Done",F39="Done",G39="Done",D39="In Progress",E39="In Progress",F39="In Progress",G39="In Progress"),"In Progress","Not Started"))</f>
        <v>Not Started</v>
      </c>
      <c r="I39" s="17"/>
    </row>
    <row r="40" customFormat="false" ht="15" hidden="false" customHeight="true" outlineLevel="0" collapsed="false">
      <c r="A40" s="19" t="n">
        <v>8</v>
      </c>
      <c r="B40" s="27" t="s">
        <v>146</v>
      </c>
      <c r="C40" s="28" t="s">
        <v>147</v>
      </c>
      <c r="D40" s="19" t="s">
        <v>15</v>
      </c>
      <c r="E40" s="19" t="s">
        <v>15</v>
      </c>
      <c r="F40" s="19" t="s">
        <v>15</v>
      </c>
      <c r="G40" s="19" t="s">
        <v>15</v>
      </c>
      <c r="H40" s="18" t="str">
        <f aca="false">IF(AND(D40="Done",E40="Done",F40="Done",G40="Done"),"Done",IF(OR(D40="Done",E40="Done",F40="Done",G40="Done",D40="In Progress",E40="In Progress",F40="In Progress",G40="In Progress"),"In Progress","Not Started"))</f>
        <v>Not Started</v>
      </c>
      <c r="I40" s="22"/>
    </row>
    <row r="41" customFormat="false" ht="15" hidden="false" customHeight="true" outlineLevel="0" collapsed="false">
      <c r="A41" s="14" t="n">
        <v>8</v>
      </c>
      <c r="B41" s="25" t="s">
        <v>148</v>
      </c>
      <c r="C41" s="26" t="s">
        <v>149</v>
      </c>
      <c r="D41" s="14" t="s">
        <v>15</v>
      </c>
      <c r="E41" s="14" t="s">
        <v>15</v>
      </c>
      <c r="F41" s="14" t="s">
        <v>15</v>
      </c>
      <c r="G41" s="14" t="s">
        <v>15</v>
      </c>
      <c r="H41" s="13" t="str">
        <f aca="false">IF(AND(D41="Done",E41="Done",F41="Done",G41="Done"),"Done",IF(OR(D41="Done",E41="Done",F41="Done",G41="Done",D41="In Progress",E41="In Progress",F41="In Progress",G41="In Progress"),"In Progress","Not Started"))</f>
        <v>Not Started</v>
      </c>
      <c r="I41" s="17"/>
    </row>
    <row r="42" customFormat="false" ht="15" hidden="false" customHeight="true" outlineLevel="0" collapsed="false">
      <c r="A42" s="19" t="n">
        <v>8</v>
      </c>
      <c r="B42" s="27" t="s">
        <v>150</v>
      </c>
      <c r="C42" s="28" t="s">
        <v>123</v>
      </c>
      <c r="D42" s="19" t="s">
        <v>15</v>
      </c>
      <c r="E42" s="19" t="s">
        <v>15</v>
      </c>
      <c r="F42" s="19" t="s">
        <v>15</v>
      </c>
      <c r="G42" s="19" t="s">
        <v>15</v>
      </c>
      <c r="H42" s="18" t="str">
        <f aca="false">IF(AND(D42="Done",E42="Done",F42="Done",G42="Done"),"Done",IF(OR(D42="Done",E42="Done",F42="Done",G42="Done",D42="In Progress",E42="In Progress",F42="In Progress",G42="In Progress"),"In Progress","Not Started"))</f>
        <v>Not Started</v>
      </c>
      <c r="I42" s="22"/>
    </row>
    <row r="43" customFormat="false" ht="15" hidden="false" customHeight="true" outlineLevel="0" collapsed="false">
      <c r="A43" s="14" t="n">
        <v>9</v>
      </c>
      <c r="B43" s="25" t="s">
        <v>151</v>
      </c>
      <c r="C43" s="26" t="s">
        <v>152</v>
      </c>
      <c r="D43" s="14" t="s">
        <v>15</v>
      </c>
      <c r="E43" s="14" t="s">
        <v>15</v>
      </c>
      <c r="F43" s="14" t="s">
        <v>15</v>
      </c>
      <c r="G43" s="14" t="s">
        <v>15</v>
      </c>
      <c r="H43" s="13" t="str">
        <f aca="false">IF(AND(D43="Done",E43="Done",F43="Done",G43="Done"),"Done",IF(OR(D43="Done",E43="Done",F43="Done",G43="Done",D43="In Progress",E43="In Progress",F43="In Progress",G43="In Progress"),"In Progress","Not Started"))</f>
        <v>Not Started</v>
      </c>
      <c r="I43" s="17"/>
    </row>
    <row r="44" customFormat="false" ht="15" hidden="false" customHeight="true" outlineLevel="0" collapsed="false">
      <c r="A44" s="19" t="n">
        <v>9</v>
      </c>
      <c r="B44" s="27" t="s">
        <v>153</v>
      </c>
      <c r="C44" s="28" t="s">
        <v>154</v>
      </c>
      <c r="D44" s="19" t="s">
        <v>15</v>
      </c>
      <c r="E44" s="19" t="s">
        <v>15</v>
      </c>
      <c r="F44" s="19" t="s">
        <v>15</v>
      </c>
      <c r="G44" s="19" t="s">
        <v>15</v>
      </c>
      <c r="H44" s="18" t="str">
        <f aca="false">IF(AND(D44="Done",E44="Done",F44="Done",G44="Done"),"Done",IF(OR(D44="Done",E44="Done",F44="Done",G44="Done",D44="In Progress",E44="In Progress",F44="In Progress",G44="In Progress"),"In Progress","Not Started"))</f>
        <v>Not Started</v>
      </c>
      <c r="I44" s="22"/>
    </row>
    <row r="45" customFormat="false" ht="15" hidden="false" customHeight="true" outlineLevel="0" collapsed="false">
      <c r="A45" s="14" t="n">
        <v>9</v>
      </c>
      <c r="B45" s="25" t="s">
        <v>155</v>
      </c>
      <c r="C45" s="26" t="s">
        <v>156</v>
      </c>
      <c r="D45" s="14" t="s">
        <v>15</v>
      </c>
      <c r="E45" s="14" t="s">
        <v>15</v>
      </c>
      <c r="F45" s="14" t="s">
        <v>15</v>
      </c>
      <c r="G45" s="14" t="s">
        <v>15</v>
      </c>
      <c r="H45" s="13" t="str">
        <f aca="false">IF(AND(D45="Done",E45="Done",F45="Done",G45="Done"),"Done",IF(OR(D45="Done",E45="Done",F45="Done",G45="Done",D45="In Progress",E45="In Progress",F45="In Progress",G45="In Progress"),"In Progress","Not Started"))</f>
        <v>Not Started</v>
      </c>
      <c r="I45" s="17"/>
    </row>
    <row r="46" customFormat="false" ht="15" hidden="false" customHeight="true" outlineLevel="0" collapsed="false">
      <c r="A46" s="19" t="n">
        <v>9</v>
      </c>
      <c r="B46" s="27" t="s">
        <v>157</v>
      </c>
      <c r="C46" s="28" t="s">
        <v>158</v>
      </c>
      <c r="D46" s="19" t="s">
        <v>15</v>
      </c>
      <c r="E46" s="19" t="s">
        <v>15</v>
      </c>
      <c r="F46" s="19" t="s">
        <v>15</v>
      </c>
      <c r="G46" s="19" t="s">
        <v>15</v>
      </c>
      <c r="H46" s="18" t="str">
        <f aca="false">IF(AND(D46="Done",E46="Done",F46="Done",G46="Done"),"Done",IF(OR(D46="Done",E46="Done",F46="Done",G46="Done",D46="In Progress",E46="In Progress",F46="In Progress",G46="In Progress"),"In Progress","Not Started"))</f>
        <v>Not Started</v>
      </c>
      <c r="I46" s="22"/>
    </row>
    <row r="47" customFormat="false" ht="15" hidden="false" customHeight="true" outlineLevel="0" collapsed="false">
      <c r="A47" s="14" t="n">
        <v>9</v>
      </c>
      <c r="B47" s="25" t="s">
        <v>159</v>
      </c>
      <c r="C47" s="26" t="s">
        <v>123</v>
      </c>
      <c r="D47" s="14" t="s">
        <v>15</v>
      </c>
      <c r="E47" s="14" t="s">
        <v>15</v>
      </c>
      <c r="F47" s="14" t="s">
        <v>15</v>
      </c>
      <c r="G47" s="14" t="s">
        <v>15</v>
      </c>
      <c r="H47" s="13" t="str">
        <f aca="false">IF(AND(D47="Done",E47="Done",F47="Done",G47="Done"),"Done",IF(OR(D47="Done",E47="Done",F47="Done",G47="Done",D47="In Progress",E47="In Progress",F47="In Progress",G47="In Progress"),"In Progress","Not Started"))</f>
        <v>Not Started</v>
      </c>
      <c r="I47" s="17"/>
    </row>
    <row r="48" customFormat="false" ht="15" hidden="false" customHeight="true" outlineLevel="0" collapsed="false">
      <c r="A48" s="19" t="n">
        <v>10</v>
      </c>
      <c r="B48" s="27" t="s">
        <v>160</v>
      </c>
      <c r="C48" s="28" t="s">
        <v>161</v>
      </c>
      <c r="D48" s="19" t="s">
        <v>15</v>
      </c>
      <c r="E48" s="19" t="s">
        <v>15</v>
      </c>
      <c r="F48" s="19" t="s">
        <v>15</v>
      </c>
      <c r="G48" s="19" t="s">
        <v>15</v>
      </c>
      <c r="H48" s="18" t="str">
        <f aca="false">IF(AND(D48="Done",E48="Done",F48="Done",G48="Done"),"Done",IF(OR(D48="Done",E48="Done",F48="Done",G48="Done",D48="In Progress",E48="In Progress",F48="In Progress",G48="In Progress"),"In Progress","Not Started"))</f>
        <v>Not Started</v>
      </c>
      <c r="I48" s="22"/>
    </row>
    <row r="49" customFormat="false" ht="15" hidden="false" customHeight="true" outlineLevel="0" collapsed="false">
      <c r="A49" s="14" t="n">
        <v>10</v>
      </c>
      <c r="B49" s="25" t="s">
        <v>162</v>
      </c>
      <c r="C49" s="26" t="s">
        <v>163</v>
      </c>
      <c r="D49" s="14" t="s">
        <v>15</v>
      </c>
      <c r="E49" s="14" t="s">
        <v>15</v>
      </c>
      <c r="F49" s="14" t="s">
        <v>15</v>
      </c>
      <c r="G49" s="14" t="s">
        <v>15</v>
      </c>
      <c r="H49" s="13" t="str">
        <f aca="false">IF(AND(D49="Done",E49="Done",F49="Done",G49="Done"),"Done",IF(OR(D49="Done",E49="Done",F49="Done",G49="Done",D49="In Progress",E49="In Progress",F49="In Progress",G49="In Progress"),"In Progress","Not Started"))</f>
        <v>Not Started</v>
      </c>
      <c r="I49" s="17"/>
    </row>
    <row r="50" customFormat="false" ht="15" hidden="false" customHeight="true" outlineLevel="0" collapsed="false">
      <c r="A50" s="19" t="n">
        <v>10</v>
      </c>
      <c r="B50" s="27" t="s">
        <v>164</v>
      </c>
      <c r="C50" s="28" t="s">
        <v>165</v>
      </c>
      <c r="D50" s="19" t="s">
        <v>15</v>
      </c>
      <c r="E50" s="19" t="s">
        <v>15</v>
      </c>
      <c r="F50" s="19" t="s">
        <v>15</v>
      </c>
      <c r="G50" s="19" t="s">
        <v>15</v>
      </c>
      <c r="H50" s="18" t="str">
        <f aca="false">IF(AND(D50="Done",E50="Done",F50="Done",G50="Done"),"Done",IF(OR(D50="Done",E50="Done",F50="Done",G50="Done",D50="In Progress",E50="In Progress",F50="In Progress",G50="In Progress"),"In Progress","Not Started"))</f>
        <v>Not Started</v>
      </c>
      <c r="I50" s="22"/>
    </row>
    <row r="51" customFormat="false" ht="15" hidden="false" customHeight="true" outlineLevel="0" collapsed="false">
      <c r="A51" s="14" t="n">
        <v>10</v>
      </c>
      <c r="B51" s="25" t="s">
        <v>166</v>
      </c>
      <c r="C51" s="26" t="s">
        <v>167</v>
      </c>
      <c r="D51" s="14" t="s">
        <v>15</v>
      </c>
      <c r="E51" s="14" t="s">
        <v>15</v>
      </c>
      <c r="F51" s="14" t="s">
        <v>15</v>
      </c>
      <c r="G51" s="14" t="s">
        <v>15</v>
      </c>
      <c r="H51" s="13" t="str">
        <f aca="false">IF(AND(D51="Done",E51="Done",F51="Done",G51="Done"),"Done",IF(OR(D51="Done",E51="Done",F51="Done",G51="Done",D51="In Progress",E51="In Progress",F51="In Progress",G51="In Progress"),"In Progress","Not Started"))</f>
        <v>Not Started</v>
      </c>
      <c r="I51" s="17"/>
    </row>
    <row r="52" customFormat="false" ht="15" hidden="false" customHeight="true" outlineLevel="0" collapsed="false">
      <c r="A52" s="19" t="n">
        <v>10</v>
      </c>
      <c r="B52" s="27" t="s">
        <v>168</v>
      </c>
      <c r="C52" s="28" t="s">
        <v>123</v>
      </c>
      <c r="D52" s="19" t="s">
        <v>15</v>
      </c>
      <c r="E52" s="19" t="s">
        <v>15</v>
      </c>
      <c r="F52" s="19" t="s">
        <v>15</v>
      </c>
      <c r="G52" s="19" t="s">
        <v>15</v>
      </c>
      <c r="H52" s="18" t="str">
        <f aca="false">IF(AND(D52="Done",E52="Done",F52="Done",G52="Done"),"Done",IF(OR(D52="Done",E52="Done",F52="Done",G52="Done",D52="In Progress",E52="In Progress",F52="In Progress",G52="In Progress"),"In Progress","Not Started"))</f>
        <v>Not Started</v>
      </c>
      <c r="I52" s="22"/>
    </row>
    <row r="53" customFormat="false" ht="15" hidden="false" customHeight="true" outlineLevel="0" collapsed="false">
      <c r="A53" s="14" t="n">
        <v>11</v>
      </c>
      <c r="B53" s="25" t="s">
        <v>169</v>
      </c>
      <c r="C53" s="26" t="s">
        <v>170</v>
      </c>
      <c r="D53" s="14" t="s">
        <v>15</v>
      </c>
      <c r="E53" s="14" t="s">
        <v>15</v>
      </c>
      <c r="F53" s="14" t="s">
        <v>15</v>
      </c>
      <c r="G53" s="14" t="s">
        <v>15</v>
      </c>
      <c r="H53" s="13" t="str">
        <f aca="false">IF(AND(D53="Done",E53="Done",F53="Done",G53="Done"),"Done",IF(OR(D53="Done",E53="Done",F53="Done",G53="Done",D53="In Progress",E53="In Progress",F53="In Progress",G53="In Progress"),"In Progress","Not Started"))</f>
        <v>Not Started</v>
      </c>
      <c r="I53" s="17"/>
    </row>
    <row r="54" customFormat="false" ht="15" hidden="false" customHeight="true" outlineLevel="0" collapsed="false">
      <c r="A54" s="19" t="n">
        <v>11</v>
      </c>
      <c r="B54" s="27" t="s">
        <v>171</v>
      </c>
      <c r="C54" s="28" t="s">
        <v>172</v>
      </c>
      <c r="D54" s="19" t="s">
        <v>15</v>
      </c>
      <c r="E54" s="19" t="s">
        <v>15</v>
      </c>
      <c r="F54" s="19" t="s">
        <v>15</v>
      </c>
      <c r="G54" s="19" t="s">
        <v>15</v>
      </c>
      <c r="H54" s="18" t="str">
        <f aca="false">IF(AND(D54="Done",E54="Done",F54="Done",G54="Done"),"Done",IF(OR(D54="Done",E54="Done",F54="Done",G54="Done",D54="In Progress",E54="In Progress",F54="In Progress",G54="In Progress"),"In Progress","Not Started"))</f>
        <v>Not Started</v>
      </c>
      <c r="I54" s="22"/>
    </row>
    <row r="55" customFormat="false" ht="15" hidden="false" customHeight="true" outlineLevel="0" collapsed="false">
      <c r="A55" s="14" t="n">
        <v>11</v>
      </c>
      <c r="B55" s="25" t="s">
        <v>173</v>
      </c>
      <c r="C55" s="26" t="s">
        <v>174</v>
      </c>
      <c r="D55" s="14" t="s">
        <v>15</v>
      </c>
      <c r="E55" s="14" t="s">
        <v>15</v>
      </c>
      <c r="F55" s="14" t="s">
        <v>15</v>
      </c>
      <c r="G55" s="14" t="s">
        <v>15</v>
      </c>
      <c r="H55" s="13" t="str">
        <f aca="false">IF(AND(D55="Done",E55="Done",F55="Done",G55="Done"),"Done",IF(OR(D55="Done",E55="Done",F55="Done",G55="Done",D55="In Progress",E55="In Progress",F55="In Progress",G55="In Progress"),"In Progress","Not Started"))</f>
        <v>Not Started</v>
      </c>
      <c r="I55" s="17"/>
    </row>
    <row r="56" customFormat="false" ht="15" hidden="false" customHeight="true" outlineLevel="0" collapsed="false">
      <c r="A56" s="19" t="n">
        <v>11</v>
      </c>
      <c r="B56" s="27" t="s">
        <v>175</v>
      </c>
      <c r="C56" s="28" t="s">
        <v>176</v>
      </c>
      <c r="D56" s="19" t="s">
        <v>15</v>
      </c>
      <c r="E56" s="19" t="s">
        <v>15</v>
      </c>
      <c r="F56" s="19" t="s">
        <v>15</v>
      </c>
      <c r="G56" s="19" t="s">
        <v>15</v>
      </c>
      <c r="H56" s="18" t="str">
        <f aca="false">IF(AND(D56="Done",E56="Done",F56="Done",G56="Done"),"Done",IF(OR(D56="Done",E56="Done",F56="Done",G56="Done",D56="In Progress",E56="In Progress",F56="In Progress",G56="In Progress"),"In Progress","Not Started"))</f>
        <v>Not Started</v>
      </c>
      <c r="I56" s="22"/>
    </row>
    <row r="57" customFormat="false" ht="15" hidden="false" customHeight="true" outlineLevel="0" collapsed="false">
      <c r="A57" s="14" t="n">
        <v>11</v>
      </c>
      <c r="B57" s="25" t="s">
        <v>177</v>
      </c>
      <c r="C57" s="26" t="s">
        <v>123</v>
      </c>
      <c r="D57" s="14" t="s">
        <v>15</v>
      </c>
      <c r="E57" s="14" t="s">
        <v>15</v>
      </c>
      <c r="F57" s="14" t="s">
        <v>15</v>
      </c>
      <c r="G57" s="14" t="s">
        <v>15</v>
      </c>
      <c r="H57" s="13" t="str">
        <f aca="false">IF(AND(D57="Done",E57="Done",F57="Done",G57="Done"),"Done",IF(OR(D57="Done",E57="Done",F57="Done",G57="Done",D57="In Progress",E57="In Progress",F57="In Progress",G57="In Progress"),"In Progress","Not Started"))</f>
        <v>Not Started</v>
      </c>
      <c r="I57" s="17"/>
    </row>
    <row r="58" customFormat="false" ht="15" hidden="false" customHeight="true" outlineLevel="0" collapsed="false">
      <c r="A58" s="19" t="n">
        <v>12</v>
      </c>
      <c r="B58" s="27" t="s">
        <v>178</v>
      </c>
      <c r="C58" s="28" t="s">
        <v>179</v>
      </c>
      <c r="D58" s="19" t="s">
        <v>15</v>
      </c>
      <c r="E58" s="19" t="s">
        <v>15</v>
      </c>
      <c r="F58" s="19" t="s">
        <v>15</v>
      </c>
      <c r="G58" s="19" t="s">
        <v>15</v>
      </c>
      <c r="H58" s="18" t="str">
        <f aca="false">IF(AND(D58="Done",E58="Done",F58="Done",G58="Done"),"Done",IF(OR(D58="Done",E58="Done",F58="Done",G58="Done",D58="In Progress",E58="In Progress",F58="In Progress",G58="In Progress"),"In Progress","Not Started"))</f>
        <v>Not Started</v>
      </c>
      <c r="I58" s="22"/>
    </row>
    <row r="59" customFormat="false" ht="15" hidden="false" customHeight="true" outlineLevel="0" collapsed="false">
      <c r="A59" s="14" t="n">
        <v>12</v>
      </c>
      <c r="B59" s="25" t="s">
        <v>180</v>
      </c>
      <c r="C59" s="26" t="s">
        <v>181</v>
      </c>
      <c r="D59" s="14" t="s">
        <v>15</v>
      </c>
      <c r="E59" s="14" t="s">
        <v>15</v>
      </c>
      <c r="F59" s="14" t="s">
        <v>15</v>
      </c>
      <c r="G59" s="14" t="s">
        <v>15</v>
      </c>
      <c r="H59" s="13" t="str">
        <f aca="false">IF(AND(D59="Done",E59="Done",F59="Done",G59="Done"),"Done",IF(OR(D59="Done",E59="Done",F59="Done",G59="Done",D59="In Progress",E59="In Progress",F59="In Progress",G59="In Progress"),"In Progress","Not Started"))</f>
        <v>Not Started</v>
      </c>
      <c r="I59" s="17"/>
    </row>
    <row r="60" customFormat="false" ht="15" hidden="false" customHeight="true" outlineLevel="0" collapsed="false">
      <c r="A60" s="19" t="n">
        <v>12</v>
      </c>
      <c r="B60" s="27" t="s">
        <v>182</v>
      </c>
      <c r="C60" s="28" t="s">
        <v>183</v>
      </c>
      <c r="D60" s="19" t="s">
        <v>15</v>
      </c>
      <c r="E60" s="19" t="s">
        <v>15</v>
      </c>
      <c r="F60" s="19" t="s">
        <v>15</v>
      </c>
      <c r="G60" s="19" t="s">
        <v>15</v>
      </c>
      <c r="H60" s="18" t="str">
        <f aca="false">IF(AND(D60="Done",E60="Done",F60="Done",G60="Done"),"Done",IF(OR(D60="Done",E60="Done",F60="Done",G60="Done",D60="In Progress",E60="In Progress",F60="In Progress",G60="In Progress"),"In Progress","Not Started"))</f>
        <v>Not Started</v>
      </c>
      <c r="I60" s="22"/>
    </row>
    <row r="61" customFormat="false" ht="15" hidden="false" customHeight="true" outlineLevel="0" collapsed="false">
      <c r="A61" s="14" t="n">
        <v>12</v>
      </c>
      <c r="B61" s="25" t="s">
        <v>184</v>
      </c>
      <c r="C61" s="26" t="s">
        <v>185</v>
      </c>
      <c r="D61" s="14" t="s">
        <v>15</v>
      </c>
      <c r="E61" s="14" t="s">
        <v>15</v>
      </c>
      <c r="F61" s="14" t="s">
        <v>15</v>
      </c>
      <c r="G61" s="14" t="s">
        <v>15</v>
      </c>
      <c r="H61" s="13" t="str">
        <f aca="false">IF(AND(D61="Done",E61="Done",F61="Done",G61="Done"),"Done",IF(OR(D61="Done",E61="Done",F61="Done",G61="Done",D61="In Progress",E61="In Progress",F61="In Progress",G61="In Progress"),"In Progress","Not Started"))</f>
        <v>Not Started</v>
      </c>
      <c r="I61" s="17"/>
    </row>
    <row r="62" customFormat="false" ht="15" hidden="false" customHeight="true" outlineLevel="0" collapsed="false">
      <c r="A62" s="19" t="n">
        <v>12</v>
      </c>
      <c r="B62" s="27" t="s">
        <v>186</v>
      </c>
      <c r="C62" s="28" t="s">
        <v>123</v>
      </c>
      <c r="D62" s="19" t="s">
        <v>15</v>
      </c>
      <c r="E62" s="19" t="s">
        <v>15</v>
      </c>
      <c r="F62" s="19" t="s">
        <v>15</v>
      </c>
      <c r="G62" s="19" t="s">
        <v>15</v>
      </c>
      <c r="H62" s="18" t="str">
        <f aca="false">IF(AND(D62="Done",E62="Done",F62="Done",G62="Done"),"Done",IF(OR(D62="Done",E62="Done",F62="Done",G62="Done",D62="In Progress",E62="In Progress",F62="In Progress",G62="In Progress"),"In Progress","Not Started"))</f>
        <v>Not Started</v>
      </c>
      <c r="I62" s="22"/>
    </row>
    <row r="63" customFormat="false" ht="15" hidden="false" customHeight="true" outlineLevel="0" collapsed="false">
      <c r="A63" s="14" t="n">
        <v>13</v>
      </c>
      <c r="B63" s="25" t="s">
        <v>187</v>
      </c>
      <c r="C63" s="26" t="s">
        <v>188</v>
      </c>
      <c r="D63" s="14" t="s">
        <v>15</v>
      </c>
      <c r="E63" s="14" t="s">
        <v>15</v>
      </c>
      <c r="F63" s="14" t="s">
        <v>15</v>
      </c>
      <c r="G63" s="14" t="s">
        <v>15</v>
      </c>
      <c r="H63" s="13" t="str">
        <f aca="false">IF(AND(D63="Done",E63="Done",F63="Done",G63="Done"),"Done",IF(OR(D63="Done",E63="Done",F63="Done",G63="Done",D63="In Progress",E63="In Progress",F63="In Progress",G63="In Progress"),"In Progress","Not Started"))</f>
        <v>Not Started</v>
      </c>
      <c r="I63" s="17"/>
    </row>
    <row r="64" customFormat="false" ht="15" hidden="false" customHeight="true" outlineLevel="0" collapsed="false">
      <c r="A64" s="19" t="n">
        <v>13</v>
      </c>
      <c r="B64" s="27" t="s">
        <v>189</v>
      </c>
      <c r="C64" s="28" t="s">
        <v>190</v>
      </c>
      <c r="D64" s="19" t="s">
        <v>15</v>
      </c>
      <c r="E64" s="19" t="s">
        <v>15</v>
      </c>
      <c r="F64" s="19" t="s">
        <v>15</v>
      </c>
      <c r="G64" s="19" t="s">
        <v>15</v>
      </c>
      <c r="H64" s="18" t="str">
        <f aca="false">IF(AND(D64="Done",E64="Done",F64="Done",G64="Done"),"Done",IF(OR(D64="Done",E64="Done",F64="Done",G64="Done",D64="In Progress",E64="In Progress",F64="In Progress",G64="In Progress"),"In Progress","Not Started"))</f>
        <v>Not Started</v>
      </c>
      <c r="I64" s="22"/>
    </row>
    <row r="65" customFormat="false" ht="15" hidden="false" customHeight="true" outlineLevel="0" collapsed="false">
      <c r="A65" s="14" t="n">
        <v>13</v>
      </c>
      <c r="B65" s="25" t="s">
        <v>191</v>
      </c>
      <c r="C65" s="26" t="s">
        <v>192</v>
      </c>
      <c r="D65" s="14" t="s">
        <v>15</v>
      </c>
      <c r="E65" s="14" t="s">
        <v>15</v>
      </c>
      <c r="F65" s="14" t="s">
        <v>15</v>
      </c>
      <c r="G65" s="14" t="s">
        <v>15</v>
      </c>
      <c r="H65" s="13" t="str">
        <f aca="false">IF(AND(D65="Done",E65="Done",F65="Done",G65="Done"),"Done",IF(OR(D65="Done",E65="Done",F65="Done",G65="Done",D65="In Progress",E65="In Progress",F65="In Progress",G65="In Progress"),"In Progress","Not Started"))</f>
        <v>Not Started</v>
      </c>
      <c r="I65" s="17"/>
    </row>
    <row r="66" customFormat="false" ht="15" hidden="false" customHeight="true" outlineLevel="0" collapsed="false">
      <c r="A66" s="19" t="n">
        <v>13</v>
      </c>
      <c r="B66" s="27" t="s">
        <v>193</v>
      </c>
      <c r="C66" s="28" t="s">
        <v>194</v>
      </c>
      <c r="D66" s="19" t="s">
        <v>15</v>
      </c>
      <c r="E66" s="19" t="s">
        <v>15</v>
      </c>
      <c r="F66" s="19" t="s">
        <v>15</v>
      </c>
      <c r="G66" s="19" t="s">
        <v>15</v>
      </c>
      <c r="H66" s="18" t="str">
        <f aca="false">IF(AND(D66="Done",E66="Done",F66="Done",G66="Done"),"Done",IF(OR(D66="Done",E66="Done",F66="Done",G66="Done",D66="In Progress",E66="In Progress",F66="In Progress",G66="In Progress"),"In Progress","Not Started"))</f>
        <v>Not Started</v>
      </c>
      <c r="I66" s="22"/>
    </row>
    <row r="67" customFormat="false" ht="15" hidden="false" customHeight="true" outlineLevel="0" collapsed="false">
      <c r="A67" s="14" t="n">
        <v>13</v>
      </c>
      <c r="B67" s="25" t="s">
        <v>195</v>
      </c>
      <c r="C67" s="26" t="s">
        <v>123</v>
      </c>
      <c r="D67" s="14" t="s">
        <v>15</v>
      </c>
      <c r="E67" s="14" t="s">
        <v>15</v>
      </c>
      <c r="F67" s="14" t="s">
        <v>15</v>
      </c>
      <c r="G67" s="14" t="s">
        <v>15</v>
      </c>
      <c r="H67" s="13" t="str">
        <f aca="false">IF(AND(D67="Done",E67="Done",F67="Done",G67="Done"),"Done",IF(OR(D67="Done",E67="Done",F67="Done",G67="Done",D67="In Progress",E67="In Progress",F67="In Progress",G67="In Progress"),"In Progress","Not Started"))</f>
        <v>Not Started</v>
      </c>
      <c r="I67" s="17"/>
    </row>
    <row r="68" customFormat="false" ht="15" hidden="false" customHeight="true" outlineLevel="0" collapsed="false">
      <c r="A68" s="19" t="n">
        <v>14</v>
      </c>
      <c r="B68" s="27" t="s">
        <v>196</v>
      </c>
      <c r="C68" s="28" t="s">
        <v>197</v>
      </c>
      <c r="D68" s="19" t="s">
        <v>15</v>
      </c>
      <c r="E68" s="19" t="s">
        <v>15</v>
      </c>
      <c r="F68" s="19" t="s">
        <v>15</v>
      </c>
      <c r="G68" s="19" t="s">
        <v>15</v>
      </c>
      <c r="H68" s="18" t="str">
        <f aca="false">IF(AND(D68="Done",E68="Done",F68="Done",G68="Done"),"Done",IF(OR(D68="Done",E68="Done",F68="Done",G68="Done",D68="In Progress",E68="In Progress",F68="In Progress",G68="In Progress"),"In Progress","Not Started"))</f>
        <v>Not Started</v>
      </c>
      <c r="I68" s="22"/>
    </row>
    <row r="69" customFormat="false" ht="15" hidden="false" customHeight="true" outlineLevel="0" collapsed="false">
      <c r="A69" s="14" t="n">
        <v>14</v>
      </c>
      <c r="B69" s="25" t="s">
        <v>198</v>
      </c>
      <c r="C69" s="26" t="s">
        <v>199</v>
      </c>
      <c r="D69" s="14" t="s">
        <v>15</v>
      </c>
      <c r="E69" s="14" t="s">
        <v>15</v>
      </c>
      <c r="F69" s="14" t="s">
        <v>15</v>
      </c>
      <c r="G69" s="14" t="s">
        <v>15</v>
      </c>
      <c r="H69" s="13" t="str">
        <f aca="false">IF(AND(D69="Done",E69="Done",F69="Done",G69="Done"),"Done",IF(OR(D69="Done",E69="Done",F69="Done",G69="Done",D69="In Progress",E69="In Progress",F69="In Progress",G69="In Progress"),"In Progress","Not Started"))</f>
        <v>Not Started</v>
      </c>
      <c r="I69" s="17"/>
    </row>
    <row r="70" customFormat="false" ht="15" hidden="false" customHeight="true" outlineLevel="0" collapsed="false">
      <c r="A70" s="19" t="n">
        <v>14</v>
      </c>
      <c r="B70" s="27" t="s">
        <v>200</v>
      </c>
      <c r="C70" s="28" t="s">
        <v>201</v>
      </c>
      <c r="D70" s="19" t="s">
        <v>15</v>
      </c>
      <c r="E70" s="19" t="s">
        <v>15</v>
      </c>
      <c r="F70" s="19" t="s">
        <v>15</v>
      </c>
      <c r="G70" s="19" t="s">
        <v>15</v>
      </c>
      <c r="H70" s="18" t="str">
        <f aca="false">IF(AND(D70="Done",E70="Done",F70="Done",G70="Done"),"Done",IF(OR(D70="Done",E70="Done",F70="Done",G70="Done",D70="In Progress",E70="In Progress",F70="In Progress",G70="In Progress"),"In Progress","Not Started"))</f>
        <v>Not Started</v>
      </c>
      <c r="I70" s="22"/>
    </row>
    <row r="71" customFormat="false" ht="15" hidden="false" customHeight="true" outlineLevel="0" collapsed="false">
      <c r="A71" s="14" t="n">
        <v>14</v>
      </c>
      <c r="B71" s="25" t="s">
        <v>202</v>
      </c>
      <c r="C71" s="26" t="s">
        <v>203</v>
      </c>
      <c r="D71" s="14" t="s">
        <v>15</v>
      </c>
      <c r="E71" s="14" t="s">
        <v>15</v>
      </c>
      <c r="F71" s="14" t="s">
        <v>15</v>
      </c>
      <c r="G71" s="14" t="s">
        <v>15</v>
      </c>
      <c r="H71" s="13" t="str">
        <f aca="false">IF(AND(D71="Done",E71="Done",F71="Done",G71="Done"),"Done",IF(OR(D71="Done",E71="Done",F71="Done",G71="Done",D71="In Progress",E71="In Progress",F71="In Progress",G71="In Progress"),"In Progress","Not Started"))</f>
        <v>Not Started</v>
      </c>
      <c r="I71" s="17"/>
    </row>
    <row r="72" customFormat="false" ht="15" hidden="false" customHeight="true" outlineLevel="0" collapsed="false">
      <c r="A72" s="19" t="n">
        <v>14</v>
      </c>
      <c r="B72" s="27" t="s">
        <v>204</v>
      </c>
      <c r="C72" s="28" t="s">
        <v>123</v>
      </c>
      <c r="D72" s="19" t="s">
        <v>15</v>
      </c>
      <c r="E72" s="19" t="s">
        <v>15</v>
      </c>
      <c r="F72" s="19" t="s">
        <v>15</v>
      </c>
      <c r="G72" s="19" t="s">
        <v>15</v>
      </c>
      <c r="H72" s="18" t="str">
        <f aca="false">IF(AND(D72="Done",E72="Done",F72="Done",G72="Done"),"Done",IF(OR(D72="Done",E72="Done",F72="Done",G72="Done",D72="In Progress",E72="In Progress",F72="In Progress",G72="In Progress"),"In Progress","Not Started"))</f>
        <v>Not Started</v>
      </c>
      <c r="I72" s="22"/>
    </row>
    <row r="73" customFormat="false" ht="15" hidden="false" customHeight="true" outlineLevel="0" collapsed="false">
      <c r="A73" s="14" t="n">
        <v>15</v>
      </c>
      <c r="B73" s="25" t="s">
        <v>205</v>
      </c>
      <c r="C73" s="26" t="s">
        <v>206</v>
      </c>
      <c r="D73" s="14" t="s">
        <v>15</v>
      </c>
      <c r="E73" s="14" t="s">
        <v>15</v>
      </c>
      <c r="F73" s="14" t="s">
        <v>15</v>
      </c>
      <c r="G73" s="14" t="s">
        <v>15</v>
      </c>
      <c r="H73" s="13" t="str">
        <f aca="false">IF(AND(D73="Done",E73="Done",F73="Done",G73="Done"),"Done",IF(OR(D73="Done",E73="Done",F73="Done",G73="Done",D73="In Progress",E73="In Progress",F73="In Progress",G73="In Progress"),"In Progress","Not Started"))</f>
        <v>Not Started</v>
      </c>
      <c r="I73" s="17"/>
    </row>
    <row r="74" customFormat="false" ht="15" hidden="false" customHeight="true" outlineLevel="0" collapsed="false">
      <c r="A74" s="19" t="n">
        <v>15</v>
      </c>
      <c r="B74" s="27" t="s">
        <v>207</v>
      </c>
      <c r="C74" s="28" t="s">
        <v>208</v>
      </c>
      <c r="D74" s="19" t="s">
        <v>15</v>
      </c>
      <c r="E74" s="19" t="s">
        <v>15</v>
      </c>
      <c r="F74" s="19" t="s">
        <v>15</v>
      </c>
      <c r="G74" s="19" t="s">
        <v>15</v>
      </c>
      <c r="H74" s="18" t="str">
        <f aca="false">IF(AND(D74="Done",E74="Done",F74="Done",G74="Done"),"Done",IF(OR(D74="Done",E74="Done",F74="Done",G74="Done",D74="In Progress",E74="In Progress",F74="In Progress",G74="In Progress"),"In Progress","Not Started"))</f>
        <v>Not Started</v>
      </c>
      <c r="I74" s="22"/>
    </row>
    <row r="75" customFormat="false" ht="15" hidden="false" customHeight="true" outlineLevel="0" collapsed="false">
      <c r="A75" s="14" t="n">
        <v>15</v>
      </c>
      <c r="B75" s="25" t="s">
        <v>209</v>
      </c>
      <c r="C75" s="26" t="s">
        <v>210</v>
      </c>
      <c r="D75" s="14" t="s">
        <v>15</v>
      </c>
      <c r="E75" s="14" t="s">
        <v>15</v>
      </c>
      <c r="F75" s="14" t="s">
        <v>15</v>
      </c>
      <c r="G75" s="14" t="s">
        <v>15</v>
      </c>
      <c r="H75" s="13" t="str">
        <f aca="false">IF(AND(D75="Done",E75="Done",F75="Done",G75="Done"),"Done",IF(OR(D75="Done",E75="Done",F75="Done",G75="Done",D75="In Progress",E75="In Progress",F75="In Progress",G75="In Progress"),"In Progress","Not Started"))</f>
        <v>Not Started</v>
      </c>
      <c r="I75" s="17"/>
    </row>
    <row r="76" customFormat="false" ht="15" hidden="false" customHeight="true" outlineLevel="0" collapsed="false">
      <c r="A76" s="19" t="n">
        <v>15</v>
      </c>
      <c r="B76" s="27" t="s">
        <v>211</v>
      </c>
      <c r="C76" s="28" t="s">
        <v>212</v>
      </c>
      <c r="D76" s="19" t="s">
        <v>15</v>
      </c>
      <c r="E76" s="19" t="s">
        <v>15</v>
      </c>
      <c r="F76" s="19" t="s">
        <v>15</v>
      </c>
      <c r="G76" s="19" t="s">
        <v>15</v>
      </c>
      <c r="H76" s="18" t="str">
        <f aca="false">IF(AND(D76="Done",E76="Done",F76="Done",G76="Done"),"Done",IF(OR(D76="Done",E76="Done",F76="Done",G76="Done",D76="In Progress",E76="In Progress",F76="In Progress",G76="In Progress"),"In Progress","Not Started"))</f>
        <v>Not Started</v>
      </c>
      <c r="I76" s="22"/>
    </row>
    <row r="77" customFormat="false" ht="15" hidden="false" customHeight="true" outlineLevel="0" collapsed="false">
      <c r="A77" s="14" t="n">
        <v>15</v>
      </c>
      <c r="B77" s="25" t="s">
        <v>213</v>
      </c>
      <c r="C77" s="26" t="s">
        <v>123</v>
      </c>
      <c r="D77" s="14" t="s">
        <v>15</v>
      </c>
      <c r="E77" s="14" t="s">
        <v>15</v>
      </c>
      <c r="F77" s="14" t="s">
        <v>15</v>
      </c>
      <c r="G77" s="14" t="s">
        <v>15</v>
      </c>
      <c r="H77" s="13" t="str">
        <f aca="false">IF(AND(D77="Done",E77="Done",F77="Done",G77="Done"),"Done",IF(OR(D77="Done",E77="Done",F77="Done",G77="Done",D77="In Progress",E77="In Progress",F77="In Progress",G77="In Progress"),"In Progress","Not Started"))</f>
        <v>Not Started</v>
      </c>
      <c r="I77" s="17"/>
    </row>
    <row r="78" customFormat="false" ht="15" hidden="false" customHeight="true" outlineLevel="0" collapsed="false">
      <c r="A78" s="19" t="n">
        <v>16</v>
      </c>
      <c r="B78" s="27" t="s">
        <v>214</v>
      </c>
      <c r="C78" s="28" t="s">
        <v>215</v>
      </c>
      <c r="D78" s="19" t="s">
        <v>15</v>
      </c>
      <c r="E78" s="19" t="s">
        <v>15</v>
      </c>
      <c r="F78" s="19" t="s">
        <v>15</v>
      </c>
      <c r="G78" s="19" t="s">
        <v>15</v>
      </c>
      <c r="H78" s="18" t="str">
        <f aca="false">IF(AND(D78="Done",E78="Done",F78="Done",G78="Done"),"Done",IF(OR(D78="Done",E78="Done",F78="Done",G78="Done",D78="In Progress",E78="In Progress",F78="In Progress",G78="In Progress"),"In Progress","Not Started"))</f>
        <v>Not Started</v>
      </c>
      <c r="I78" s="22"/>
    </row>
    <row r="79" customFormat="false" ht="15" hidden="false" customHeight="true" outlineLevel="0" collapsed="false">
      <c r="A79" s="14" t="n">
        <v>16</v>
      </c>
      <c r="B79" s="25" t="s">
        <v>216</v>
      </c>
      <c r="C79" s="26" t="s">
        <v>217</v>
      </c>
      <c r="D79" s="14" t="s">
        <v>15</v>
      </c>
      <c r="E79" s="14" t="s">
        <v>15</v>
      </c>
      <c r="F79" s="14" t="s">
        <v>15</v>
      </c>
      <c r="G79" s="14" t="s">
        <v>15</v>
      </c>
      <c r="H79" s="13" t="str">
        <f aca="false">IF(AND(D79="Done",E79="Done",F79="Done",G79="Done"),"Done",IF(OR(D79="Done",E79="Done",F79="Done",G79="Done",D79="In Progress",E79="In Progress",F79="In Progress",G79="In Progress"),"In Progress","Not Started"))</f>
        <v>Not Started</v>
      </c>
      <c r="I79" s="17"/>
    </row>
    <row r="80" customFormat="false" ht="15" hidden="false" customHeight="true" outlineLevel="0" collapsed="false">
      <c r="A80" s="19" t="n">
        <v>16</v>
      </c>
      <c r="B80" s="27" t="s">
        <v>218</v>
      </c>
      <c r="C80" s="28" t="s">
        <v>219</v>
      </c>
      <c r="D80" s="19" t="s">
        <v>15</v>
      </c>
      <c r="E80" s="19" t="s">
        <v>15</v>
      </c>
      <c r="F80" s="19" t="s">
        <v>15</v>
      </c>
      <c r="G80" s="19" t="s">
        <v>15</v>
      </c>
      <c r="H80" s="18" t="str">
        <f aca="false">IF(AND(D80="Done",E80="Done",F80="Done",G80="Done"),"Done",IF(OR(D80="Done",E80="Done",F80="Done",G80="Done",D80="In Progress",E80="In Progress",F80="In Progress",G80="In Progress"),"In Progress","Not Started"))</f>
        <v>Not Started</v>
      </c>
      <c r="I80" s="22"/>
    </row>
    <row r="81" customFormat="false" ht="15" hidden="false" customHeight="true" outlineLevel="0" collapsed="false">
      <c r="A81" s="14" t="n">
        <v>16</v>
      </c>
      <c r="B81" s="25" t="s">
        <v>220</v>
      </c>
      <c r="C81" s="26" t="s">
        <v>221</v>
      </c>
      <c r="D81" s="14" t="s">
        <v>15</v>
      </c>
      <c r="E81" s="14" t="s">
        <v>15</v>
      </c>
      <c r="F81" s="14" t="s">
        <v>15</v>
      </c>
      <c r="G81" s="14" t="s">
        <v>15</v>
      </c>
      <c r="H81" s="13" t="str">
        <f aca="false">IF(AND(D81="Done",E81="Done",F81="Done",G81="Done"),"Done",IF(OR(D81="Done",E81="Done",F81="Done",G81="Done",D81="In Progress",E81="In Progress",F81="In Progress",G81="In Progress"),"In Progress","Not Started"))</f>
        <v>Not Started</v>
      </c>
      <c r="I81" s="17"/>
    </row>
    <row r="82" customFormat="false" ht="15" hidden="false" customHeight="true" outlineLevel="0" collapsed="false">
      <c r="A82" s="19" t="n">
        <v>16</v>
      </c>
      <c r="B82" s="27" t="s">
        <v>222</v>
      </c>
      <c r="C82" s="28" t="s">
        <v>123</v>
      </c>
      <c r="D82" s="19" t="s">
        <v>15</v>
      </c>
      <c r="E82" s="19" t="s">
        <v>15</v>
      </c>
      <c r="F82" s="19" t="s">
        <v>15</v>
      </c>
      <c r="G82" s="19" t="s">
        <v>15</v>
      </c>
      <c r="H82" s="18" t="str">
        <f aca="false">IF(AND(D82="Done",E82="Done",F82="Done",G82="Done"),"Done",IF(OR(D82="Done",E82="Done",F82="Done",G82="Done",D82="In Progress",E82="In Progress",F82="In Progress",G82="In Progress"),"In Progress","Not Started"))</f>
        <v>Not Started</v>
      </c>
      <c r="I82" s="22"/>
    </row>
    <row r="83" customFormat="false" ht="15" hidden="false" customHeight="true" outlineLevel="0" collapsed="false">
      <c r="A83" s="14" t="n">
        <v>17</v>
      </c>
      <c r="B83" s="25" t="s">
        <v>223</v>
      </c>
      <c r="C83" s="26" t="s">
        <v>224</v>
      </c>
      <c r="D83" s="14" t="s">
        <v>15</v>
      </c>
      <c r="E83" s="14" t="s">
        <v>15</v>
      </c>
      <c r="F83" s="14" t="s">
        <v>15</v>
      </c>
      <c r="G83" s="14" t="s">
        <v>15</v>
      </c>
      <c r="H83" s="13" t="str">
        <f aca="false">IF(AND(D83="Done",E83="Done",F83="Done",G83="Done"),"Done",IF(OR(D83="Done",E83="Done",F83="Done",G83="Done",D83="In Progress",E83="In Progress",F83="In Progress",G83="In Progress"),"In Progress","Not Started"))</f>
        <v>Not Started</v>
      </c>
      <c r="I83" s="17"/>
    </row>
    <row r="84" customFormat="false" ht="15" hidden="false" customHeight="true" outlineLevel="0" collapsed="false">
      <c r="A84" s="19" t="n">
        <v>17</v>
      </c>
      <c r="B84" s="27" t="s">
        <v>225</v>
      </c>
      <c r="C84" s="28" t="s">
        <v>226</v>
      </c>
      <c r="D84" s="19" t="s">
        <v>15</v>
      </c>
      <c r="E84" s="19" t="s">
        <v>15</v>
      </c>
      <c r="F84" s="19" t="s">
        <v>15</v>
      </c>
      <c r="G84" s="19" t="s">
        <v>15</v>
      </c>
      <c r="H84" s="18" t="str">
        <f aca="false">IF(AND(D84="Done",E84="Done",F84="Done",G84="Done"),"Done",IF(OR(D84="Done",E84="Done",F84="Done",G84="Done",D84="In Progress",E84="In Progress",F84="In Progress",G84="In Progress"),"In Progress","Not Started"))</f>
        <v>Not Started</v>
      </c>
      <c r="I84" s="22"/>
    </row>
    <row r="85" customFormat="false" ht="15" hidden="false" customHeight="true" outlineLevel="0" collapsed="false">
      <c r="A85" s="14" t="n">
        <v>17</v>
      </c>
      <c r="B85" s="25" t="s">
        <v>227</v>
      </c>
      <c r="C85" s="26" t="s">
        <v>228</v>
      </c>
      <c r="D85" s="14" t="s">
        <v>15</v>
      </c>
      <c r="E85" s="14" t="s">
        <v>15</v>
      </c>
      <c r="F85" s="14" t="s">
        <v>15</v>
      </c>
      <c r="G85" s="14" t="s">
        <v>15</v>
      </c>
      <c r="H85" s="13" t="str">
        <f aca="false">IF(AND(D85="Done",E85="Done",F85="Done",G85="Done"),"Done",IF(OR(D85="Done",E85="Done",F85="Done",G85="Done",D85="In Progress",E85="In Progress",F85="In Progress",G85="In Progress"),"In Progress","Not Started"))</f>
        <v>Not Started</v>
      </c>
      <c r="I85" s="17"/>
    </row>
    <row r="86" customFormat="false" ht="15" hidden="false" customHeight="true" outlineLevel="0" collapsed="false">
      <c r="A86" s="19" t="n">
        <v>17</v>
      </c>
      <c r="B86" s="27" t="s">
        <v>229</v>
      </c>
      <c r="C86" s="28" t="s">
        <v>230</v>
      </c>
      <c r="D86" s="19" t="s">
        <v>15</v>
      </c>
      <c r="E86" s="19" t="s">
        <v>15</v>
      </c>
      <c r="F86" s="19" t="s">
        <v>15</v>
      </c>
      <c r="G86" s="19" t="s">
        <v>15</v>
      </c>
      <c r="H86" s="18" t="str">
        <f aca="false">IF(AND(D86="Done",E86="Done",F86="Done",G86="Done"),"Done",IF(OR(D86="Done",E86="Done",F86="Done",G86="Done",D86="In Progress",E86="In Progress",F86="In Progress",G86="In Progress"),"In Progress","Not Started"))</f>
        <v>Not Started</v>
      </c>
      <c r="I86" s="22"/>
    </row>
    <row r="87" customFormat="false" ht="15" hidden="false" customHeight="true" outlineLevel="0" collapsed="false">
      <c r="A87" s="14" t="n">
        <v>17</v>
      </c>
      <c r="B87" s="25" t="s">
        <v>231</v>
      </c>
      <c r="C87" s="26" t="s">
        <v>123</v>
      </c>
      <c r="D87" s="14" t="s">
        <v>15</v>
      </c>
      <c r="E87" s="14" t="s">
        <v>15</v>
      </c>
      <c r="F87" s="14" t="s">
        <v>15</v>
      </c>
      <c r="G87" s="14" t="s">
        <v>15</v>
      </c>
      <c r="H87" s="13" t="str">
        <f aca="false">IF(AND(D87="Done",E87="Done",F87="Done",G87="Done"),"Done",IF(OR(D87="Done",E87="Done",F87="Done",G87="Done",D87="In Progress",E87="In Progress",F87="In Progress",G87="In Progress"),"In Progress","Not Started"))</f>
        <v>Not Started</v>
      </c>
      <c r="I87" s="17"/>
    </row>
    <row r="88" customFormat="false" ht="15" hidden="false" customHeight="true" outlineLevel="0" collapsed="false">
      <c r="A88" s="19" t="n">
        <v>18</v>
      </c>
      <c r="B88" s="27" t="s">
        <v>232</v>
      </c>
      <c r="C88" s="28" t="s">
        <v>233</v>
      </c>
      <c r="D88" s="19" t="s">
        <v>15</v>
      </c>
      <c r="E88" s="19" t="s">
        <v>15</v>
      </c>
      <c r="F88" s="19" t="s">
        <v>15</v>
      </c>
      <c r="G88" s="19" t="s">
        <v>15</v>
      </c>
      <c r="H88" s="18" t="str">
        <f aca="false">IF(AND(D88="Done",E88="Done",F88="Done",G88="Done"),"Done",IF(OR(D88="Done",E88="Done",F88="Done",G88="Done",D88="In Progress",E88="In Progress",F88="In Progress",G88="In Progress"),"In Progress","Not Started"))</f>
        <v>Not Started</v>
      </c>
      <c r="I88" s="22"/>
    </row>
    <row r="89" customFormat="false" ht="15" hidden="false" customHeight="true" outlineLevel="0" collapsed="false">
      <c r="A89" s="14" t="n">
        <v>18</v>
      </c>
      <c r="B89" s="25" t="s">
        <v>234</v>
      </c>
      <c r="C89" s="26" t="s">
        <v>235</v>
      </c>
      <c r="D89" s="14" t="s">
        <v>15</v>
      </c>
      <c r="E89" s="14" t="s">
        <v>15</v>
      </c>
      <c r="F89" s="14" t="s">
        <v>15</v>
      </c>
      <c r="G89" s="14" t="s">
        <v>15</v>
      </c>
      <c r="H89" s="13" t="str">
        <f aca="false">IF(AND(D89="Done",E89="Done",F89="Done",G89="Done"),"Done",IF(OR(D89="Done",E89="Done",F89="Done",G89="Done",D89="In Progress",E89="In Progress",F89="In Progress",G89="In Progress"),"In Progress","Not Started"))</f>
        <v>Not Started</v>
      </c>
      <c r="I89" s="17"/>
    </row>
    <row r="90" customFormat="false" ht="15" hidden="false" customHeight="true" outlineLevel="0" collapsed="false">
      <c r="A90" s="19" t="n">
        <v>18</v>
      </c>
      <c r="B90" s="27" t="s">
        <v>236</v>
      </c>
      <c r="C90" s="28" t="s">
        <v>237</v>
      </c>
      <c r="D90" s="19" t="s">
        <v>15</v>
      </c>
      <c r="E90" s="19" t="s">
        <v>15</v>
      </c>
      <c r="F90" s="19" t="s">
        <v>15</v>
      </c>
      <c r="G90" s="19" t="s">
        <v>15</v>
      </c>
      <c r="H90" s="18" t="str">
        <f aca="false">IF(AND(D90="Done",E90="Done",F90="Done",G90="Done"),"Done",IF(OR(D90="Done",E90="Done",F90="Done",G90="Done",D90="In Progress",E90="In Progress",F90="In Progress",G90="In Progress"),"In Progress","Not Started"))</f>
        <v>Not Started</v>
      </c>
      <c r="I90" s="22"/>
    </row>
    <row r="91" customFormat="false" ht="15" hidden="false" customHeight="true" outlineLevel="0" collapsed="false">
      <c r="A91" s="14" t="n">
        <v>18</v>
      </c>
      <c r="B91" s="25" t="s">
        <v>238</v>
      </c>
      <c r="C91" s="26" t="s">
        <v>230</v>
      </c>
      <c r="D91" s="14" t="s">
        <v>15</v>
      </c>
      <c r="E91" s="14" t="s">
        <v>15</v>
      </c>
      <c r="F91" s="14" t="s">
        <v>15</v>
      </c>
      <c r="G91" s="14" t="s">
        <v>15</v>
      </c>
      <c r="H91" s="13" t="str">
        <f aca="false">IF(AND(D91="Done",E91="Done",F91="Done",G91="Done"),"Done",IF(OR(D91="Done",E91="Done",F91="Done",G91="Done",D91="In Progress",E91="In Progress",F91="In Progress",G91="In Progress"),"In Progress","Not Started"))</f>
        <v>Not Started</v>
      </c>
      <c r="I91" s="17"/>
    </row>
    <row r="92" customFormat="false" ht="15" hidden="false" customHeight="true" outlineLevel="0" collapsed="false">
      <c r="A92" s="19" t="n">
        <v>18</v>
      </c>
      <c r="B92" s="27" t="s">
        <v>239</v>
      </c>
      <c r="C92" s="28" t="s">
        <v>123</v>
      </c>
      <c r="D92" s="19" t="s">
        <v>15</v>
      </c>
      <c r="E92" s="19" t="s">
        <v>15</v>
      </c>
      <c r="F92" s="19" t="s">
        <v>15</v>
      </c>
      <c r="G92" s="19" t="s">
        <v>15</v>
      </c>
      <c r="H92" s="18" t="str">
        <f aca="false">IF(AND(D92="Done",E92="Done",F92="Done",G92="Done"),"Done",IF(OR(D92="Done",E92="Done",F92="Done",G92="Done",D92="In Progress",E92="In Progress",F92="In Progress",G92="In Progress"),"In Progress","Not Started"))</f>
        <v>Not Started</v>
      </c>
      <c r="I92" s="22"/>
    </row>
    <row r="93" customFormat="false" ht="15" hidden="false" customHeight="true" outlineLevel="0" collapsed="false">
      <c r="A93" s="14" t="n">
        <v>19</v>
      </c>
      <c r="B93" s="25" t="s">
        <v>240</v>
      </c>
      <c r="C93" s="26" t="s">
        <v>241</v>
      </c>
      <c r="D93" s="14" t="s">
        <v>15</v>
      </c>
      <c r="E93" s="14" t="s">
        <v>15</v>
      </c>
      <c r="F93" s="14" t="s">
        <v>15</v>
      </c>
      <c r="G93" s="14" t="s">
        <v>15</v>
      </c>
      <c r="H93" s="13" t="str">
        <f aca="false">IF(AND(D93="Done",E93="Done",F93="Done",G93="Done"),"Done",IF(OR(D93="Done",E93="Done",F93="Done",G93="Done",D93="In Progress",E93="In Progress",F93="In Progress",G93="In Progress"),"In Progress","Not Started"))</f>
        <v>Not Started</v>
      </c>
      <c r="I93" s="17"/>
    </row>
    <row r="94" customFormat="false" ht="15" hidden="false" customHeight="true" outlineLevel="0" collapsed="false">
      <c r="A94" s="19" t="n">
        <v>19</v>
      </c>
      <c r="B94" s="27" t="s">
        <v>242</v>
      </c>
      <c r="C94" s="28" t="s">
        <v>243</v>
      </c>
      <c r="D94" s="19" t="s">
        <v>15</v>
      </c>
      <c r="E94" s="19" t="s">
        <v>15</v>
      </c>
      <c r="F94" s="19" t="s">
        <v>15</v>
      </c>
      <c r="G94" s="19" t="s">
        <v>15</v>
      </c>
      <c r="H94" s="18" t="str">
        <f aca="false">IF(AND(D94="Done",E94="Done",F94="Done",G94="Done"),"Done",IF(OR(D94="Done",E94="Done",F94="Done",G94="Done",D94="In Progress",E94="In Progress",F94="In Progress",G94="In Progress"),"In Progress","Not Started"))</f>
        <v>Not Started</v>
      </c>
      <c r="I94" s="22"/>
    </row>
    <row r="95" customFormat="false" ht="15" hidden="false" customHeight="true" outlineLevel="0" collapsed="false">
      <c r="A95" s="14" t="n">
        <v>19</v>
      </c>
      <c r="B95" s="25" t="s">
        <v>244</v>
      </c>
      <c r="C95" s="26" t="s">
        <v>245</v>
      </c>
      <c r="D95" s="14" t="s">
        <v>15</v>
      </c>
      <c r="E95" s="14" t="s">
        <v>15</v>
      </c>
      <c r="F95" s="14" t="s">
        <v>15</v>
      </c>
      <c r="G95" s="14" t="s">
        <v>15</v>
      </c>
      <c r="H95" s="13" t="str">
        <f aca="false">IF(AND(D95="Done",E95="Done",F95="Done",G95="Done"),"Done",IF(OR(D95="Done",E95="Done",F95="Done",G95="Done",D95="In Progress",E95="In Progress",F95="In Progress",G95="In Progress"),"In Progress","Not Started"))</f>
        <v>Not Started</v>
      </c>
      <c r="I95" s="17"/>
    </row>
    <row r="96" customFormat="false" ht="15" hidden="false" customHeight="true" outlineLevel="0" collapsed="false">
      <c r="A96" s="19" t="n">
        <v>19</v>
      </c>
      <c r="B96" s="27" t="s">
        <v>246</v>
      </c>
      <c r="C96" s="28" t="s">
        <v>247</v>
      </c>
      <c r="D96" s="19" t="s">
        <v>15</v>
      </c>
      <c r="E96" s="19" t="s">
        <v>15</v>
      </c>
      <c r="F96" s="19" t="s">
        <v>15</v>
      </c>
      <c r="G96" s="19" t="s">
        <v>15</v>
      </c>
      <c r="H96" s="18" t="str">
        <f aca="false">IF(AND(D96="Done",E96="Done",F96="Done",G96="Done"),"Done",IF(OR(D96="Done",E96="Done",F96="Done",G96="Done",D96="In Progress",E96="In Progress",F96="In Progress",G96="In Progress"),"In Progress","Not Started"))</f>
        <v>Not Started</v>
      </c>
      <c r="I96" s="22"/>
    </row>
    <row r="97" customFormat="false" ht="15" hidden="false" customHeight="true" outlineLevel="0" collapsed="false">
      <c r="A97" s="14" t="n">
        <v>19</v>
      </c>
      <c r="B97" s="25" t="s">
        <v>248</v>
      </c>
      <c r="C97" s="26" t="s">
        <v>123</v>
      </c>
      <c r="D97" s="14" t="s">
        <v>15</v>
      </c>
      <c r="E97" s="14" t="s">
        <v>15</v>
      </c>
      <c r="F97" s="14" t="s">
        <v>15</v>
      </c>
      <c r="G97" s="14" t="s">
        <v>15</v>
      </c>
      <c r="H97" s="13" t="str">
        <f aca="false">IF(AND(D97="Done",E97="Done",F97="Done",G97="Done"),"Done",IF(OR(D97="Done",E97="Done",F97="Done",G97="Done",D97="In Progress",E97="In Progress",F97="In Progress",G97="In Progress"),"In Progress","Not Started"))</f>
        <v>Not Started</v>
      </c>
      <c r="I97" s="17"/>
    </row>
    <row r="98" customFormat="false" ht="15" hidden="false" customHeight="true" outlineLevel="0" collapsed="false">
      <c r="A98" s="19" t="n">
        <v>20</v>
      </c>
      <c r="B98" s="27" t="s">
        <v>249</v>
      </c>
      <c r="C98" s="28" t="s">
        <v>250</v>
      </c>
      <c r="D98" s="19" t="s">
        <v>15</v>
      </c>
      <c r="E98" s="19" t="s">
        <v>15</v>
      </c>
      <c r="F98" s="19" t="s">
        <v>15</v>
      </c>
      <c r="G98" s="19" t="s">
        <v>15</v>
      </c>
      <c r="H98" s="18" t="str">
        <f aca="false">IF(AND(D98="Done",E98="Done",F98="Done",G98="Done"),"Done",IF(OR(D98="Done",E98="Done",F98="Done",G98="Done",D98="In Progress",E98="In Progress",F98="In Progress",G98="In Progress"),"In Progress","Not Started"))</f>
        <v>Not Started</v>
      </c>
      <c r="I98" s="22"/>
    </row>
    <row r="99" customFormat="false" ht="15" hidden="false" customHeight="true" outlineLevel="0" collapsed="false">
      <c r="A99" s="14" t="n">
        <v>20</v>
      </c>
      <c r="B99" s="25" t="s">
        <v>251</v>
      </c>
      <c r="C99" s="26" t="s">
        <v>252</v>
      </c>
      <c r="D99" s="14" t="s">
        <v>15</v>
      </c>
      <c r="E99" s="14" t="s">
        <v>15</v>
      </c>
      <c r="F99" s="14" t="s">
        <v>15</v>
      </c>
      <c r="G99" s="14" t="s">
        <v>15</v>
      </c>
      <c r="H99" s="13" t="str">
        <f aca="false">IF(AND(D99="Done",E99="Done",F99="Done",G99="Done"),"Done",IF(OR(D99="Done",E99="Done",F99="Done",G99="Done",D99="In Progress",E99="In Progress",F99="In Progress",G99="In Progress"),"In Progress","Not Started"))</f>
        <v>Not Started</v>
      </c>
      <c r="I99" s="17"/>
    </row>
    <row r="100" customFormat="false" ht="15" hidden="false" customHeight="true" outlineLevel="0" collapsed="false">
      <c r="A100" s="19" t="n">
        <v>20</v>
      </c>
      <c r="B100" s="27" t="s">
        <v>253</v>
      </c>
      <c r="C100" s="28" t="s">
        <v>254</v>
      </c>
      <c r="D100" s="19" t="s">
        <v>15</v>
      </c>
      <c r="E100" s="19" t="s">
        <v>15</v>
      </c>
      <c r="F100" s="19" t="s">
        <v>15</v>
      </c>
      <c r="G100" s="19" t="s">
        <v>15</v>
      </c>
      <c r="H100" s="18" t="str">
        <f aca="false">IF(AND(D100="Done",E100="Done",F100="Done",G100="Done"),"Done",IF(OR(D100="Done",E100="Done",F100="Done",G100="Done",D100="In Progress",E100="In Progress",F100="In Progress",G100="In Progress"),"In Progress","Not Started"))</f>
        <v>Not Started</v>
      </c>
      <c r="I100" s="22"/>
    </row>
    <row r="101" customFormat="false" ht="15" hidden="false" customHeight="true" outlineLevel="0" collapsed="false">
      <c r="A101" s="14" t="n">
        <v>20</v>
      </c>
      <c r="B101" s="25" t="s">
        <v>255</v>
      </c>
      <c r="C101" s="26" t="s">
        <v>256</v>
      </c>
      <c r="D101" s="14" t="s">
        <v>15</v>
      </c>
      <c r="E101" s="14" t="s">
        <v>15</v>
      </c>
      <c r="F101" s="14" t="s">
        <v>15</v>
      </c>
      <c r="G101" s="14" t="s">
        <v>15</v>
      </c>
      <c r="H101" s="13" t="str">
        <f aca="false">IF(AND(D101="Done",E101="Done",F101="Done",G101="Done"),"Done",IF(OR(D101="Done",E101="Done",F101="Done",G101="Done",D101="In Progress",E101="In Progress",F101="In Progress",G101="In Progress"),"In Progress","Not Started"))</f>
        <v>Not Started</v>
      </c>
      <c r="I101" s="17"/>
    </row>
    <row r="102" customFormat="false" ht="15" hidden="false" customHeight="true" outlineLevel="0" collapsed="false">
      <c r="A102" s="19" t="n">
        <v>20</v>
      </c>
      <c r="B102" s="27" t="s">
        <v>257</v>
      </c>
      <c r="C102" s="28" t="s">
        <v>258</v>
      </c>
      <c r="D102" s="19" t="s">
        <v>15</v>
      </c>
      <c r="E102" s="19" t="s">
        <v>15</v>
      </c>
      <c r="F102" s="19" t="s">
        <v>15</v>
      </c>
      <c r="G102" s="19" t="s">
        <v>15</v>
      </c>
      <c r="H102" s="18" t="str">
        <f aca="false">IF(AND(D102="Done",E102="Done",F102="Done",G102="Done"),"Done",IF(OR(D102="Done",E102="Done",F102="Done",G102="Done",D102="In Progress",E102="In Progress",F102="In Progress",G102="In Progress"),"In Progress","Not Started"))</f>
        <v>Not Started</v>
      </c>
      <c r="I102" s="22"/>
    </row>
  </sheetData>
  <autoFilter ref="A2:I2"/>
  <mergeCells count="1">
    <mergeCell ref="A1:I1"/>
  </mergeCells>
  <conditionalFormatting sqref="D3:D102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conditionalFormatting sqref="E3:E102">
    <cfRule type="cellIs" priority="5" operator="equal" aboveAverage="0" equalAverage="0" bottom="0" percent="0" rank="0" text="" dxfId="0">
      <formula>"Done"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2">
      <formula>"Not Started"</formula>
    </cfRule>
  </conditionalFormatting>
  <conditionalFormatting sqref="F3:F102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"In Progress"</formula>
    </cfRule>
    <cfRule type="cellIs" priority="10" operator="equal" aboveAverage="0" equalAverage="0" bottom="0" percent="0" rank="0" text="" dxfId="2">
      <formula>"Not Started"</formula>
    </cfRule>
  </conditionalFormatting>
  <conditionalFormatting sqref="G3:G102">
    <cfRule type="cellIs" priority="11" operator="equal" aboveAverage="0" equalAverage="0" bottom="0" percent="0" rank="0" text="" dxfId="0">
      <formula>"Done"</formula>
    </cfRule>
    <cfRule type="cellIs" priority="12" operator="equal" aboveAverage="0" equalAverage="0" bottom="0" percent="0" rank="0" text="" dxfId="1">
      <formula>"In Progress"</formula>
    </cfRule>
    <cfRule type="cellIs" priority="13" operator="equal" aboveAverage="0" equalAverage="0" bottom="0" percent="0" rank="0" text="" dxfId="2">
      <formula>"Not Started"</formula>
    </cfRule>
  </conditionalFormatting>
  <conditionalFormatting sqref="H3:H102">
    <cfRule type="cellIs" priority="14" operator="equal" aboveAverage="0" equalAverage="0" bottom="0" percent="0" rank="0" text="" dxfId="0">
      <formula>"Done"</formula>
    </cfRule>
    <cfRule type="cellIs" priority="15" operator="equal" aboveAverage="0" equalAverage="0" bottom="0" percent="0" rank="0" text="" dxfId="1">
      <formula>"In Progress"</formula>
    </cfRule>
    <cfRule type="cellIs" priority="16" operator="equal" aboveAverage="0" equalAverage="0" bottom="0" percent="0" rank="0" text="" dxfId="2">
      <formula>"Not Started"</formula>
    </cfRule>
  </conditionalFormatting>
  <dataValidations count="1">
    <dataValidation allowBlank="true" error="Pick from dropdown" errorStyle="stop" errorTitle="Invalid Status" operator="between" showDropDown="false" showErrorMessage="false" showInputMessage="false" sqref="D3:G102" type="list">
      <formula1>"Done,In Progress,Not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31.5" hidden="false" customHeight="true" outlineLevel="0" collapsed="false">
      <c r="A1" s="23" t="s">
        <v>259</v>
      </c>
      <c r="B1" s="23"/>
      <c r="C1" s="23"/>
      <c r="D1" s="23"/>
      <c r="E1" s="23"/>
    </row>
    <row r="2" customFormat="false" ht="15" hidden="false" customHeight="true" outlineLevel="0" collapsed="false">
      <c r="A2" s="12" t="s">
        <v>260</v>
      </c>
      <c r="B2" s="12" t="s">
        <v>261</v>
      </c>
      <c r="C2" s="12" t="s">
        <v>262</v>
      </c>
      <c r="D2" s="12" t="s">
        <v>24</v>
      </c>
      <c r="E2" s="12" t="s">
        <v>13</v>
      </c>
    </row>
    <row r="3" customFormat="false" ht="15" hidden="false" customHeight="true" outlineLevel="0" collapsed="false">
      <c r="A3" s="14" t="n">
        <v>1</v>
      </c>
      <c r="B3" s="26" t="s">
        <v>263</v>
      </c>
      <c r="C3" s="14" t="s">
        <v>264</v>
      </c>
      <c r="D3" s="14" t="s">
        <v>15</v>
      </c>
      <c r="E3" s="17" t="s">
        <v>265</v>
      </c>
    </row>
    <row r="4" customFormat="false" ht="15" hidden="false" customHeight="true" outlineLevel="0" collapsed="false">
      <c r="A4" s="19" t="n">
        <v>2</v>
      </c>
      <c r="B4" s="28" t="s">
        <v>266</v>
      </c>
      <c r="C4" s="19" t="s">
        <v>267</v>
      </c>
      <c r="D4" s="19" t="s">
        <v>15</v>
      </c>
      <c r="E4" s="22" t="s">
        <v>268</v>
      </c>
    </row>
    <row r="5" customFormat="false" ht="15" hidden="false" customHeight="true" outlineLevel="0" collapsed="false">
      <c r="A5" s="14" t="n">
        <v>3</v>
      </c>
      <c r="B5" s="26" t="s">
        <v>269</v>
      </c>
      <c r="C5" s="14" t="s">
        <v>270</v>
      </c>
      <c r="D5" s="14" t="s">
        <v>15</v>
      </c>
      <c r="E5" s="17" t="s">
        <v>271</v>
      </c>
    </row>
    <row r="6" customFormat="false" ht="15" hidden="false" customHeight="true" outlineLevel="0" collapsed="false">
      <c r="A6" s="19" t="n">
        <v>4</v>
      </c>
      <c r="B6" s="28" t="s">
        <v>272</v>
      </c>
      <c r="C6" s="19" t="s">
        <v>270</v>
      </c>
      <c r="D6" s="19" t="s">
        <v>15</v>
      </c>
      <c r="E6" s="22" t="s">
        <v>273</v>
      </c>
    </row>
    <row r="7" customFormat="false" ht="15" hidden="false" customHeight="true" outlineLevel="0" collapsed="false">
      <c r="A7" s="14" t="n">
        <v>5</v>
      </c>
      <c r="B7" s="26" t="s">
        <v>274</v>
      </c>
      <c r="C7" s="14" t="s">
        <v>275</v>
      </c>
      <c r="D7" s="14" t="s">
        <v>15</v>
      </c>
      <c r="E7" s="17" t="s">
        <v>276</v>
      </c>
    </row>
    <row r="8" customFormat="false" ht="15" hidden="false" customHeight="true" outlineLevel="0" collapsed="false">
      <c r="A8" s="19" t="n">
        <v>6</v>
      </c>
      <c r="B8" s="28" t="s">
        <v>277</v>
      </c>
      <c r="C8" s="19" t="s">
        <v>278</v>
      </c>
      <c r="D8" s="19" t="s">
        <v>15</v>
      </c>
      <c r="E8" s="22" t="s">
        <v>279</v>
      </c>
    </row>
    <row r="9" customFormat="false" ht="15" hidden="false" customHeight="true" outlineLevel="0" collapsed="false">
      <c r="A9" s="14" t="n">
        <v>7</v>
      </c>
      <c r="B9" s="26" t="s">
        <v>280</v>
      </c>
      <c r="C9" s="14" t="s">
        <v>278</v>
      </c>
      <c r="D9" s="14" t="s">
        <v>15</v>
      </c>
      <c r="E9" s="17" t="s">
        <v>281</v>
      </c>
    </row>
    <row r="10" customFormat="false" ht="15" hidden="false" customHeight="true" outlineLevel="0" collapsed="false">
      <c r="A10" s="19" t="n">
        <v>8</v>
      </c>
      <c r="B10" s="28" t="s">
        <v>282</v>
      </c>
      <c r="C10" s="19" t="s">
        <v>275</v>
      </c>
      <c r="D10" s="19" t="s">
        <v>15</v>
      </c>
      <c r="E10" s="22" t="s">
        <v>283</v>
      </c>
    </row>
    <row r="11" customFormat="false" ht="15" hidden="false" customHeight="true" outlineLevel="0" collapsed="false">
      <c r="A11" s="14" t="n">
        <v>9</v>
      </c>
      <c r="B11" s="26" t="s">
        <v>284</v>
      </c>
      <c r="C11" s="14" t="s">
        <v>285</v>
      </c>
      <c r="D11" s="14" t="s">
        <v>15</v>
      </c>
      <c r="E11" s="17" t="s">
        <v>286</v>
      </c>
    </row>
    <row r="12" customFormat="false" ht="15" hidden="false" customHeight="true" outlineLevel="0" collapsed="false">
      <c r="A12" s="19" t="n">
        <v>10</v>
      </c>
      <c r="B12" s="28" t="s">
        <v>287</v>
      </c>
      <c r="C12" s="19" t="s">
        <v>278</v>
      </c>
      <c r="D12" s="19" t="s">
        <v>15</v>
      </c>
      <c r="E12" s="22" t="s">
        <v>288</v>
      </c>
    </row>
  </sheetData>
  <mergeCells count="1">
    <mergeCell ref="A1:E1"/>
  </mergeCells>
  <conditionalFormatting sqref="D3:D5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2">
    <dataValidation allowBlank="true" errorStyle="stop" operator="between" showDropDown="false" showErrorMessage="false" showInputMessage="false" sqref="D3:D49" type="list">
      <formula1>"Done,In Progress,Not Started"</formula1>
      <formula2>0</formula2>
    </dataValidation>
    <dataValidation allowBlank="true" errorStyle="stop" operator="between" showDropDown="false" showErrorMessage="false" showInputMessage="false" sqref="C3:C49" type="list">
      <formula1>"Content,UI Polish,QA,Enhancement,Planning,Cleanup,Bug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2026-04-11T20:47:06Z</dcterms:created>
  <dc:creator>openpyxl</dc:creator>
  <dc:description/>
  <dc:language>en-US</dc:language>
  <cp:lastModifiedBy/>
  <dcterms:modified xsi:type="dcterms:W3CDTF">2026-04-11T20:52:24Z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